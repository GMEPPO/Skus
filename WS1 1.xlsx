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groupegm-my.sharepoint.com/personal/maria_ribas_groupegm_com/Documents/Ambiente de Trabalho/"/>
    </mc:Choice>
  </mc:AlternateContent>
  <xr:revisionPtr revIDLastSave="528" documentId="8_{EB4BCB7F-AD99-4B9F-B938-9529C817050B}" xr6:coauthVersionLast="47" xr6:coauthVersionMax="47" xr10:uidLastSave="{DDCDDE22-1B00-4F6D-A512-213FDC7AC6C7}"/>
  <bookViews>
    <workbookView xWindow="-108" yWindow="-108" windowWidth="23256" windowHeight="13896" xr2:uid="{9946FC16-1025-4A47-8ECD-E976DCD8034F}"/>
  </bookViews>
  <sheets>
    <sheet name="Cosmética" sheetId="1" r:id="rId1"/>
    <sheet name="Acessorios" sheetId="2" r:id="rId2"/>
    <sheet name="Suportes" sheetId="3" r:id="rId3"/>
    <sheet name="Chinelos" sheetId="4" r:id="rId4"/>
    <sheet name="Equipamento" sheetId="5" r:id="rId5"/>
  </sheets>
  <definedNames>
    <definedName name="_xlnm._FilterDatabase" localSheetId="1" hidden="1">Acessorios!$G$1:$H$10</definedName>
    <definedName name="_xlnm._FilterDatabase" localSheetId="0" hidden="1">Cosmética!$A$1:$E$58</definedName>
    <definedName name="_xlnm._FilterDatabase" localSheetId="2" hidden="1">Suportes!$M$1:$N$6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16" i="1" l="1"/>
  <c r="D16" i="1"/>
  <c r="K14" i="1"/>
  <c r="J14" i="1"/>
  <c r="AA3" i="2"/>
  <c r="AC3" i="2"/>
  <c r="AC2" i="2"/>
  <c r="AA2" i="2"/>
  <c r="AH14" i="1"/>
  <c r="AG14" i="1"/>
  <c r="AI14" i="1" s="1"/>
  <c r="AH13" i="1"/>
  <c r="AG13" i="1"/>
  <c r="AI13" i="1" s="1"/>
  <c r="P13" i="1"/>
  <c r="O13" i="1" s="1"/>
  <c r="Q13" i="1" s="1"/>
  <c r="E21" i="1"/>
  <c r="I15" i="2"/>
  <c r="J15" i="2"/>
  <c r="K15" i="2" s="1"/>
  <c r="I14" i="2"/>
  <c r="J14" i="2"/>
  <c r="K14" i="2"/>
  <c r="I13" i="2"/>
  <c r="J13" i="2"/>
  <c r="K13" i="2"/>
  <c r="I12" i="2"/>
  <c r="K12" i="2" s="1"/>
  <c r="I11" i="2"/>
  <c r="J11" i="2"/>
  <c r="K11" i="2"/>
  <c r="E8" i="2"/>
  <c r="D8" i="2"/>
  <c r="C8" i="2"/>
  <c r="J13" i="1"/>
  <c r="I13" i="1" s="1"/>
  <c r="K13" i="1" s="1"/>
  <c r="K3" i="3"/>
  <c r="K4" i="3"/>
  <c r="K5" i="3"/>
  <c r="K6" i="3"/>
  <c r="E2" i="3"/>
  <c r="K2" i="3"/>
  <c r="AC3" i="3"/>
  <c r="AC4" i="3"/>
  <c r="AC5" i="3"/>
  <c r="AC6" i="3"/>
  <c r="AC7" i="3"/>
  <c r="AC8" i="3"/>
  <c r="AC9" i="3"/>
  <c r="AC2" i="3"/>
  <c r="W3" i="3"/>
  <c r="W4" i="3"/>
  <c r="W5" i="3"/>
  <c r="W2" i="3"/>
  <c r="Q3" i="3"/>
  <c r="Q4" i="3"/>
  <c r="Q2" i="3"/>
  <c r="C2" i="3"/>
  <c r="W3" i="2"/>
  <c r="W4" i="2"/>
  <c r="W2" i="2"/>
  <c r="Q3" i="2"/>
  <c r="Q2" i="2"/>
  <c r="E11" i="1"/>
  <c r="U3" i="3"/>
  <c r="V3" i="3"/>
  <c r="U4" i="3"/>
  <c r="V4" i="3"/>
  <c r="U5" i="3"/>
  <c r="V5" i="3" s="1"/>
  <c r="U2" i="3"/>
  <c r="V2" i="3" s="1"/>
  <c r="O3" i="3"/>
  <c r="P3" i="3" s="1"/>
  <c r="O4" i="3"/>
  <c r="P4" i="3" s="1"/>
  <c r="O2" i="3"/>
  <c r="P2" i="3" s="1"/>
  <c r="I3" i="3"/>
  <c r="J3" i="3" s="1"/>
  <c r="I4" i="3"/>
  <c r="J4" i="3" s="1"/>
  <c r="I5" i="3"/>
  <c r="J5" i="3" s="1"/>
  <c r="I6" i="3"/>
  <c r="J6" i="3"/>
  <c r="H3" i="4"/>
  <c r="I3" i="4"/>
  <c r="H4" i="4"/>
  <c r="I4" i="4"/>
  <c r="W3" i="4"/>
  <c r="X3" i="4"/>
  <c r="W4" i="4"/>
  <c r="X4" i="4"/>
  <c r="W5" i="4"/>
  <c r="X5" i="4" s="1"/>
  <c r="W6" i="4"/>
  <c r="X6" i="4"/>
  <c r="W7" i="4"/>
  <c r="X7" i="4"/>
  <c r="W2" i="4"/>
  <c r="X2" i="4" s="1"/>
  <c r="R3" i="4"/>
  <c r="S3" i="4" s="1"/>
  <c r="R4" i="4"/>
  <c r="S4" i="4" s="1"/>
  <c r="R5" i="4"/>
  <c r="S5" i="4"/>
  <c r="R2" i="4"/>
  <c r="S2" i="4" s="1"/>
  <c r="M3" i="4"/>
  <c r="N3" i="4" s="1"/>
  <c r="M2" i="4"/>
  <c r="N2" i="4" s="1"/>
  <c r="C2" i="4"/>
  <c r="D2" i="4" s="1"/>
  <c r="H2" i="4"/>
  <c r="I2" i="4" s="1"/>
  <c r="I2" i="3"/>
  <c r="J2" i="3" s="1"/>
  <c r="AA6" i="3"/>
  <c r="AB6" i="3"/>
  <c r="AA7" i="3"/>
  <c r="AB7" i="3"/>
  <c r="AA8" i="3"/>
  <c r="AB8" i="3"/>
  <c r="AA9" i="3"/>
  <c r="AB9" i="3" s="1"/>
  <c r="AA3" i="3"/>
  <c r="AB3" i="3" s="1"/>
  <c r="AA4" i="3"/>
  <c r="AA5" i="3"/>
  <c r="AB5" i="3" s="1"/>
  <c r="U3" i="2"/>
  <c r="V3" i="2" s="1"/>
  <c r="U4" i="2"/>
  <c r="V4" i="2"/>
  <c r="U2" i="2"/>
  <c r="V2" i="2" s="1"/>
  <c r="O3" i="2"/>
  <c r="P3" i="2" s="1"/>
  <c r="O2" i="2"/>
  <c r="P2" i="2" s="1"/>
  <c r="I3" i="2"/>
  <c r="K3" i="2" s="1"/>
  <c r="I4" i="2"/>
  <c r="J4" i="2" s="1"/>
  <c r="K4" i="2" s="1"/>
  <c r="I5" i="2"/>
  <c r="J5" i="2" s="1"/>
  <c r="K5" i="2" s="1"/>
  <c r="I6" i="2"/>
  <c r="J6" i="2"/>
  <c r="K6" i="2" s="1"/>
  <c r="I7" i="2"/>
  <c r="J7" i="2"/>
  <c r="K7" i="2" s="1"/>
  <c r="I8" i="2"/>
  <c r="K8" i="2"/>
  <c r="I9" i="2"/>
  <c r="J9" i="2" s="1"/>
  <c r="K9" i="2" s="1"/>
  <c r="I10" i="2"/>
  <c r="J10" i="2" s="1"/>
  <c r="K10" i="2" s="1"/>
  <c r="I2" i="2"/>
  <c r="J2" i="2" s="1"/>
  <c r="K2" i="2" s="1"/>
  <c r="C3" i="2"/>
  <c r="D3" i="2"/>
  <c r="E3" i="2" s="1"/>
  <c r="C4" i="2"/>
  <c r="D4" i="2" s="1"/>
  <c r="E4" i="2" s="1"/>
  <c r="C5" i="2"/>
  <c r="D5" i="2" s="1"/>
  <c r="E5" i="2" s="1"/>
  <c r="C6" i="2"/>
  <c r="D6" i="2" s="1"/>
  <c r="E6" i="2" s="1"/>
  <c r="C7" i="2"/>
  <c r="D7" i="2"/>
  <c r="E7" i="2" s="1"/>
  <c r="C2" i="2"/>
  <c r="D2" i="2" s="1"/>
  <c r="E2" i="2" s="1"/>
  <c r="D40" i="1"/>
  <c r="E40" i="1" s="1"/>
  <c r="D39" i="1"/>
  <c r="E39" i="1" s="1"/>
  <c r="D38" i="1"/>
  <c r="E38" i="1" s="1"/>
  <c r="D36" i="1"/>
  <c r="C36" i="1" s="1"/>
  <c r="E36" i="1" s="1"/>
  <c r="AA2" i="3"/>
  <c r="AH3" i="1"/>
  <c r="AG3" i="1" s="1"/>
  <c r="AI3" i="1" s="1"/>
  <c r="AH4" i="1"/>
  <c r="AG4" i="1" s="1"/>
  <c r="AI4" i="1" s="1"/>
  <c r="AH5" i="1"/>
  <c r="AG5" i="1" s="1"/>
  <c r="AI5" i="1" s="1"/>
  <c r="AH6" i="1"/>
  <c r="AG6" i="1" s="1"/>
  <c r="AI6" i="1" s="1"/>
  <c r="AH7" i="1"/>
  <c r="AG7" i="1" s="1"/>
  <c r="AI7" i="1" s="1"/>
  <c r="AH8" i="1"/>
  <c r="AG8" i="1" s="1"/>
  <c r="AI8" i="1" s="1"/>
  <c r="AH9" i="1"/>
  <c r="AG9" i="1" s="1"/>
  <c r="AI9" i="1" s="1"/>
  <c r="AH10" i="1"/>
  <c r="AG10" i="1" s="1"/>
  <c r="AI10" i="1" s="1"/>
  <c r="AH11" i="1"/>
  <c r="AG11" i="1" s="1"/>
  <c r="AI11" i="1" s="1"/>
  <c r="AH12" i="1"/>
  <c r="AG12" i="1" s="1"/>
  <c r="AI12" i="1" s="1"/>
  <c r="AH2" i="1"/>
  <c r="AG2" i="1" s="1"/>
  <c r="AI2" i="1" s="1"/>
  <c r="AB3" i="1"/>
  <c r="AA3" i="1" s="1"/>
  <c r="AC3" i="1" s="1"/>
  <c r="AB4" i="1"/>
  <c r="AA4" i="1" s="1"/>
  <c r="AC4" i="1" s="1"/>
  <c r="AB5" i="1"/>
  <c r="AA5" i="1" s="1"/>
  <c r="AC5" i="1" s="1"/>
  <c r="AB6" i="1"/>
  <c r="AA6" i="1" s="1"/>
  <c r="AC6" i="1" s="1"/>
  <c r="AB7" i="1"/>
  <c r="AA7" i="1" s="1"/>
  <c r="AC7" i="1" s="1"/>
  <c r="AB2" i="1"/>
  <c r="AA2" i="1" s="1"/>
  <c r="AC2" i="1" s="1"/>
  <c r="V3" i="1"/>
  <c r="U3" i="1" s="1"/>
  <c r="W3" i="1" s="1"/>
  <c r="V4" i="1"/>
  <c r="U4" i="1" s="1"/>
  <c r="W4" i="1" s="1"/>
  <c r="V5" i="1"/>
  <c r="U5" i="1" s="1"/>
  <c r="W5" i="1" s="1"/>
  <c r="V6" i="1"/>
  <c r="U6" i="1" s="1"/>
  <c r="W6" i="1" s="1"/>
  <c r="V7" i="1"/>
  <c r="U7" i="1" s="1"/>
  <c r="W7" i="1" s="1"/>
  <c r="V8" i="1"/>
  <c r="U8" i="1" s="1"/>
  <c r="W8" i="1" s="1"/>
  <c r="V9" i="1"/>
  <c r="U9" i="1" s="1"/>
  <c r="W9" i="1" s="1"/>
  <c r="V10" i="1"/>
  <c r="U10" i="1" s="1"/>
  <c r="W10" i="1" s="1"/>
  <c r="V11" i="1"/>
  <c r="U11" i="1" s="1"/>
  <c r="W11" i="1" s="1"/>
  <c r="V12" i="1"/>
  <c r="U12" i="1" s="1"/>
  <c r="W12" i="1" s="1"/>
  <c r="V13" i="1"/>
  <c r="U13" i="1" s="1"/>
  <c r="W13" i="1" s="1"/>
  <c r="V14" i="1"/>
  <c r="U14" i="1" s="1"/>
  <c r="W14" i="1" s="1"/>
  <c r="V15" i="1"/>
  <c r="U15" i="1" s="1"/>
  <c r="W15" i="1" s="1"/>
  <c r="V2" i="1"/>
  <c r="U2" i="1" s="1"/>
  <c r="W2" i="1" s="1"/>
  <c r="P3" i="1"/>
  <c r="O3" i="1" s="1"/>
  <c r="Q3" i="1" s="1"/>
  <c r="P4" i="1"/>
  <c r="O4" i="1" s="1"/>
  <c r="Q4" i="1" s="1"/>
  <c r="P5" i="1"/>
  <c r="Q5" i="1" s="1"/>
  <c r="P6" i="1"/>
  <c r="O6" i="1" s="1"/>
  <c r="Q6" i="1" s="1"/>
  <c r="P7" i="1"/>
  <c r="Q7" i="1" s="1"/>
  <c r="P8" i="1"/>
  <c r="O8" i="1" s="1"/>
  <c r="Q8" i="1" s="1"/>
  <c r="P9" i="1"/>
  <c r="O9" i="1" s="1"/>
  <c r="Q9" i="1" s="1"/>
  <c r="P10" i="1"/>
  <c r="O10" i="1" s="1"/>
  <c r="Q10" i="1" s="1"/>
  <c r="P11" i="1"/>
  <c r="O11" i="1" s="1"/>
  <c r="Q11" i="1" s="1"/>
  <c r="P12" i="1"/>
  <c r="O12" i="1" s="1"/>
  <c r="Q12" i="1" s="1"/>
  <c r="P2" i="1"/>
  <c r="Q2" i="1" s="1"/>
  <c r="J3" i="1"/>
  <c r="I3" i="1" s="1"/>
  <c r="K3" i="1" s="1"/>
  <c r="J4" i="1"/>
  <c r="I4" i="1" s="1"/>
  <c r="K4" i="1" s="1"/>
  <c r="J5" i="1"/>
  <c r="I5" i="1" s="1"/>
  <c r="K5" i="1" s="1"/>
  <c r="J6" i="1"/>
  <c r="K6" i="1" s="1"/>
  <c r="J7" i="1"/>
  <c r="I7" i="1" s="1"/>
  <c r="K7" i="1" s="1"/>
  <c r="J8" i="1"/>
  <c r="I8" i="1" s="1"/>
  <c r="K8" i="1" s="1"/>
  <c r="J9" i="1"/>
  <c r="K9" i="1" s="1"/>
  <c r="J10" i="1"/>
  <c r="K10" i="1" s="1"/>
  <c r="J11" i="1"/>
  <c r="K11" i="1" s="1"/>
  <c r="J12" i="1"/>
  <c r="I12" i="1" s="1"/>
  <c r="K12" i="1" s="1"/>
  <c r="J2" i="1"/>
  <c r="I2" i="1" s="1"/>
  <c r="K2" i="1" s="1"/>
  <c r="D3" i="1"/>
  <c r="E3" i="1" s="1"/>
  <c r="D4" i="1"/>
  <c r="E4" i="1" s="1"/>
  <c r="D5" i="1"/>
  <c r="C5" i="1" s="1"/>
  <c r="E5" i="1" s="1"/>
  <c r="D6" i="1"/>
  <c r="C6" i="1" s="1"/>
  <c r="E6" i="1" s="1"/>
  <c r="D7" i="1"/>
  <c r="E7" i="1" s="1"/>
  <c r="D8" i="1"/>
  <c r="E8" i="1" s="1"/>
  <c r="D9" i="1"/>
  <c r="C9" i="1" s="1"/>
  <c r="E9" i="1" s="1"/>
  <c r="D10" i="1"/>
  <c r="E10" i="1" s="1"/>
  <c r="D11" i="1"/>
  <c r="D12" i="1"/>
  <c r="C12" i="1" s="1"/>
  <c r="E12" i="1" s="1"/>
  <c r="D13" i="1"/>
  <c r="E13" i="1" s="1"/>
  <c r="D14" i="1"/>
  <c r="E14" i="1" s="1"/>
  <c r="D15" i="1"/>
  <c r="E15" i="1" s="1"/>
  <c r="D17" i="1"/>
  <c r="E17" i="1" s="1"/>
  <c r="D18" i="1"/>
  <c r="E18" i="1" s="1"/>
  <c r="D19" i="1"/>
  <c r="C19" i="1" s="1"/>
  <c r="E19" i="1" s="1"/>
  <c r="D20" i="1"/>
  <c r="E20" i="1" s="1"/>
  <c r="D22" i="1"/>
  <c r="E22" i="1" s="1"/>
  <c r="D23" i="1"/>
  <c r="E23" i="1" s="1"/>
  <c r="D24" i="1"/>
  <c r="C24" i="1" s="1"/>
  <c r="E24" i="1" s="1"/>
  <c r="D25" i="1"/>
  <c r="C25" i="1" s="1"/>
  <c r="E25" i="1" s="1"/>
  <c r="D26" i="1"/>
  <c r="C26" i="1" s="1"/>
  <c r="E26" i="1" s="1"/>
  <c r="D27" i="1"/>
  <c r="E27" i="1" s="1"/>
  <c r="D28" i="1"/>
  <c r="E28" i="1" s="1"/>
  <c r="D29" i="1"/>
  <c r="E29" i="1" s="1"/>
  <c r="D30" i="1"/>
  <c r="C30" i="1" s="1"/>
  <c r="E30" i="1" s="1"/>
  <c r="D31" i="1"/>
  <c r="E31" i="1" s="1"/>
  <c r="D32" i="1"/>
  <c r="E32" i="1" s="1"/>
  <c r="D33" i="1"/>
  <c r="C33" i="1" s="1"/>
  <c r="E33" i="1" s="1"/>
  <c r="D34" i="1"/>
  <c r="C34" i="1" s="1"/>
  <c r="E34" i="1" s="1"/>
  <c r="D35" i="1"/>
  <c r="C35" i="1" s="1"/>
  <c r="E35" i="1" s="1"/>
  <c r="D37" i="1"/>
  <c r="E37" i="1" s="1"/>
  <c r="D41" i="1"/>
  <c r="C41" i="1" s="1"/>
  <c r="E41" i="1" s="1"/>
  <c r="D42" i="1"/>
  <c r="C42" i="1" s="1"/>
  <c r="E42" i="1" s="1"/>
  <c r="D43" i="1"/>
  <c r="C43" i="1" s="1"/>
  <c r="E43" i="1" s="1"/>
  <c r="D44" i="1"/>
  <c r="C44" i="1" s="1"/>
  <c r="E44" i="1" s="1"/>
  <c r="D45" i="1"/>
  <c r="C45" i="1" s="1"/>
  <c r="E45" i="1" s="1"/>
  <c r="D46" i="1"/>
  <c r="E46" i="1" s="1"/>
  <c r="D47" i="1"/>
  <c r="C47" i="1" s="1"/>
  <c r="E47" i="1" s="1"/>
  <c r="D48" i="1"/>
  <c r="C48" i="1" s="1"/>
  <c r="E48" i="1" s="1"/>
  <c r="D49" i="1"/>
  <c r="E49" i="1" s="1"/>
  <c r="D50" i="1"/>
  <c r="C50" i="1" s="1"/>
  <c r="E50" i="1" s="1"/>
  <c r="D51" i="1"/>
  <c r="E51" i="1" s="1"/>
  <c r="D52" i="1"/>
  <c r="E52" i="1" s="1"/>
  <c r="D53" i="1"/>
  <c r="C53" i="1" s="1"/>
  <c r="E53" i="1" s="1"/>
  <c r="D54" i="1"/>
  <c r="C54" i="1" s="1"/>
  <c r="E54" i="1" s="1"/>
  <c r="D55" i="1"/>
  <c r="C55" i="1" s="1"/>
  <c r="E55" i="1" s="1"/>
  <c r="D56" i="1"/>
  <c r="C56" i="1" s="1"/>
  <c r="E56" i="1" s="1"/>
  <c r="D57" i="1"/>
  <c r="C57" i="1" s="1"/>
  <c r="E57" i="1" s="1"/>
  <c r="D58" i="1"/>
  <c r="C58" i="1" s="1"/>
  <c r="E58" i="1" s="1"/>
  <c r="D2" i="1"/>
  <c r="E2" i="1" s="1"/>
</calcChain>
</file>

<file path=xl/sharedStrings.xml><?xml version="1.0" encoding="utf-8"?>
<sst xmlns="http://schemas.openxmlformats.org/spreadsheetml/2006/main" count="512" uniqueCount="354">
  <si>
    <t>Marca/Linha</t>
  </si>
  <si>
    <t>Abreviatura</t>
  </si>
  <si>
    <t>Designação PHC</t>
  </si>
  <si>
    <t>Caracteres</t>
  </si>
  <si>
    <t>Careteres PHC</t>
  </si>
  <si>
    <t>Formato</t>
  </si>
  <si>
    <t>Produto/Modelo</t>
  </si>
  <si>
    <t>Tamanho Formato</t>
  </si>
  <si>
    <t>Tipo embalagem</t>
  </si>
  <si>
    <t>Outros</t>
  </si>
  <si>
    <t>ACH BRITO LAVANDA</t>
  </si>
  <si>
    <t>ACB</t>
  </si>
  <si>
    <t>ACHB LAVANDA</t>
  </si>
  <si>
    <t>Bisnaga</t>
  </si>
  <si>
    <t>BIS</t>
  </si>
  <si>
    <t>Amaciador</t>
  </si>
  <si>
    <t>CON</t>
  </si>
  <si>
    <t>Condicionador</t>
  </si>
  <si>
    <t>30ml</t>
  </si>
  <si>
    <t>Caixa</t>
  </si>
  <si>
    <t>CXA</t>
  </si>
  <si>
    <t>1.8</t>
  </si>
  <si>
    <t>REAL SABOARIA ALGAE</t>
  </si>
  <si>
    <t>GAE</t>
  </si>
  <si>
    <t>RS ALGAE</t>
  </si>
  <si>
    <t>ECOFILL</t>
  </si>
  <si>
    <t>ECO</t>
  </si>
  <si>
    <t>Body Lotion</t>
  </si>
  <si>
    <t>BOD</t>
  </si>
  <si>
    <t>30gr</t>
  </si>
  <si>
    <t>Papel</t>
  </si>
  <si>
    <t>PPL</t>
  </si>
  <si>
    <t>Clássico</t>
  </si>
  <si>
    <t>CLS</t>
  </si>
  <si>
    <t>ALGOTHERM OCEAN SPA</t>
  </si>
  <si>
    <t>ALG</t>
  </si>
  <si>
    <t>ALG OCEAN SPA</t>
  </si>
  <si>
    <t>Ecopump</t>
  </si>
  <si>
    <t>ECP</t>
  </si>
  <si>
    <t>Champô</t>
  </si>
  <si>
    <t>CHA</t>
  </si>
  <si>
    <t>400ml</t>
  </si>
  <si>
    <t>Sugar Cane</t>
  </si>
  <si>
    <t>SGC</t>
  </si>
  <si>
    <t>PLC</t>
  </si>
  <si>
    <t>ALQVIMIA</t>
  </si>
  <si>
    <t>ALQ</t>
  </si>
  <si>
    <t>Frasco</t>
  </si>
  <si>
    <t>FRA</t>
  </si>
  <si>
    <t>Champô/Amaciador</t>
  </si>
  <si>
    <t>CHC</t>
  </si>
  <si>
    <t>Champô/Cond</t>
  </si>
  <si>
    <t>300ml</t>
  </si>
  <si>
    <t>VAZ</t>
  </si>
  <si>
    <t>PLP</t>
  </si>
  <si>
    <t>AMIMO</t>
  </si>
  <si>
    <t>AMI</t>
  </si>
  <si>
    <t>Garrafa Ecofill</t>
  </si>
  <si>
    <t>Gel Banho</t>
  </si>
  <si>
    <t>GBD</t>
  </si>
  <si>
    <t>375ml</t>
  </si>
  <si>
    <t>Bolsa</t>
  </si>
  <si>
    <t>POU</t>
  </si>
  <si>
    <t>SLIM</t>
  </si>
  <si>
    <t>SLM</t>
  </si>
  <si>
    <t>ANNE SEMONIN</t>
  </si>
  <si>
    <t>ASE</t>
  </si>
  <si>
    <t>AN SEMNONIN</t>
  </si>
  <si>
    <t>Ghost</t>
  </si>
  <si>
    <t>GHT</t>
  </si>
  <si>
    <t>Gel Corpo Cabelo</t>
  </si>
  <si>
    <t>GCC</t>
  </si>
  <si>
    <t>Gel Corp Cabelo</t>
  </si>
  <si>
    <t>100gr</t>
  </si>
  <si>
    <t>Plást. Rec.</t>
  </si>
  <si>
    <t>PLR</t>
  </si>
  <si>
    <t>V01</t>
  </si>
  <si>
    <t>ATELIER COLOGNE POMELO</t>
  </si>
  <si>
    <t>ATC</t>
  </si>
  <si>
    <t>AT COLOG POMELO</t>
  </si>
  <si>
    <t>Manhattan</t>
  </si>
  <si>
    <t>MAN</t>
  </si>
  <si>
    <t>Gel Mãos Corpo</t>
  </si>
  <si>
    <t>500ml</t>
  </si>
  <si>
    <t>V02</t>
  </si>
  <si>
    <t>AZZARO</t>
  </si>
  <si>
    <t>AZZ</t>
  </si>
  <si>
    <t>Recarga 5L</t>
  </si>
  <si>
    <t>REC</t>
  </si>
  <si>
    <t>Rec 5L</t>
  </si>
  <si>
    <t>Loção Mão Corpo</t>
  </si>
  <si>
    <t>LMC</t>
  </si>
  <si>
    <t>20gr</t>
  </si>
  <si>
    <t>V03</t>
  </si>
  <si>
    <t>BALTIC BLISS</t>
  </si>
  <si>
    <t>BLT</t>
  </si>
  <si>
    <t>B BLISS</t>
  </si>
  <si>
    <t>Recarga Ecofill</t>
  </si>
  <si>
    <t>Rec Ecofill</t>
  </si>
  <si>
    <t>Sabonete</t>
  </si>
  <si>
    <t>SAB</t>
  </si>
  <si>
    <t>25gr</t>
  </si>
  <si>
    <t>V04</t>
  </si>
  <si>
    <t>BENAMOR ALECRIM</t>
  </si>
  <si>
    <t>ALE</t>
  </si>
  <si>
    <t>BEN ALECRIM</t>
  </si>
  <si>
    <t>Recarga Ecosouce</t>
  </si>
  <si>
    <t>ECS</t>
  </si>
  <si>
    <t>Rec Ecosource</t>
  </si>
  <si>
    <t>Sab Líquido</t>
  </si>
  <si>
    <t>40gr</t>
  </si>
  <si>
    <t>V05</t>
  </si>
  <si>
    <t>BIENVENUE</t>
  </si>
  <si>
    <t>BIE</t>
  </si>
  <si>
    <t>Sólido</t>
  </si>
  <si>
    <t>SOL</t>
  </si>
  <si>
    <t>Sais de Banho</t>
  </si>
  <si>
    <t>SAI</t>
  </si>
  <si>
    <t>40ml</t>
  </si>
  <si>
    <t>V06</t>
  </si>
  <si>
    <t>CAMPOS IBIZA</t>
  </si>
  <si>
    <t>CIB</t>
  </si>
  <si>
    <t>C IBIZA</t>
  </si>
  <si>
    <t>Stick</t>
  </si>
  <si>
    <t>STI</t>
  </si>
  <si>
    <t>Loção Mão</t>
  </si>
  <si>
    <t>LMA</t>
  </si>
  <si>
    <t>50ml</t>
  </si>
  <si>
    <t>Bordeaux</t>
  </si>
  <si>
    <t>CASTELBEL PINK LILY</t>
  </si>
  <si>
    <t>CAS</t>
  </si>
  <si>
    <t>CAS PINK LILY</t>
  </si>
  <si>
    <t>Vela</t>
  </si>
  <si>
    <t>VEL</t>
  </si>
  <si>
    <t>60ml</t>
  </si>
  <si>
    <t>Branco</t>
  </si>
  <si>
    <t>CERERIA MOLLA BLACK ORCHID</t>
  </si>
  <si>
    <t>CMO</t>
  </si>
  <si>
    <t>CERERIA BLACK ORC</t>
  </si>
  <si>
    <t>80ml</t>
  </si>
  <si>
    <t>CERERIA MOLLA</t>
  </si>
  <si>
    <t>CMR</t>
  </si>
  <si>
    <t>CERERIA BULG ROSE</t>
  </si>
  <si>
    <t>CINQ MONDES</t>
  </si>
  <si>
    <t>CQM</t>
  </si>
  <si>
    <t>C MONDES</t>
  </si>
  <si>
    <t>CLARINS</t>
  </si>
  <si>
    <t>CLA</t>
  </si>
  <si>
    <t>CLARINS EAU DIN</t>
  </si>
  <si>
    <t>CODAGE</t>
  </si>
  <si>
    <t>COD</t>
  </si>
  <si>
    <t>COMPAGNIE PROVENCE BOIS OLIVIER</t>
  </si>
  <si>
    <t>CBO</t>
  </si>
  <si>
    <t>CDP BOIS OLIVIE</t>
  </si>
  <si>
    <t>COMPAGNIE PROVENCE MINT BASIL</t>
  </si>
  <si>
    <t>CMB</t>
  </si>
  <si>
    <t>CDP MINT BASIL</t>
  </si>
  <si>
    <t>DAMANA E&amp;S</t>
  </si>
  <si>
    <t>DAM</t>
  </si>
  <si>
    <t>DAM E&amp;S</t>
  </si>
  <si>
    <t>DAMANA ORGANIC</t>
  </si>
  <si>
    <t>DOR</t>
  </si>
  <si>
    <t>DAM ORGANIC</t>
  </si>
  <si>
    <t>DAVEIA</t>
  </si>
  <si>
    <t>DAV</t>
  </si>
  <si>
    <t>EDPFM INDELEBIL</t>
  </si>
  <si>
    <t>FCI</t>
  </si>
  <si>
    <t>FAACE</t>
  </si>
  <si>
    <t>FAA</t>
  </si>
  <si>
    <t>REAL SABOARIA FILIGRANA</t>
  </si>
  <si>
    <t>FIL</t>
  </si>
  <si>
    <t>RS FILIGRANA</t>
  </si>
  <si>
    <t>CASTELBEL FLOR DE ALGODÃO</t>
  </si>
  <si>
    <t>FAL</t>
  </si>
  <si>
    <t>CAS FLOR ALGODA</t>
  </si>
  <si>
    <t>REAL SABOARIA FLOR DOS POEMAS</t>
  </si>
  <si>
    <t>FDP</t>
  </si>
  <si>
    <t>RS FLOR POEMAS</t>
  </si>
  <si>
    <t>EDPFM MAGNOLIA</t>
  </si>
  <si>
    <t>FRM</t>
  </si>
  <si>
    <t>PORTUS CALE GOLD&amp;BLUE</t>
  </si>
  <si>
    <t>G&amp;B</t>
  </si>
  <si>
    <t>PC GOLD BLUE</t>
  </si>
  <si>
    <t>BENAMOR GORDISSIMO</t>
  </si>
  <si>
    <t>GOR</t>
  </si>
  <si>
    <t>BEN GORDISSIMO</t>
  </si>
  <si>
    <t>GUERLAIN</t>
  </si>
  <si>
    <t>GUE</t>
  </si>
  <si>
    <t>HEIPOA</t>
  </si>
  <si>
    <t>HPO</t>
  </si>
  <si>
    <t>KEIJI</t>
  </si>
  <si>
    <t>KEI</t>
  </si>
  <si>
    <t>LAB PERFUMES</t>
  </si>
  <si>
    <t>LAB</t>
  </si>
  <si>
    <t>CASTELBEL LARANJA VERBENA</t>
  </si>
  <si>
    <t>LVE</t>
  </si>
  <si>
    <t>CAS LARANJA VER</t>
  </si>
  <si>
    <t>LE PETIT PRINCE</t>
  </si>
  <si>
    <t>LPP</t>
  </si>
  <si>
    <t>MEMO PARIS</t>
  </si>
  <si>
    <t>MMP</t>
  </si>
  <si>
    <t>MEMO IRISH L</t>
  </si>
  <si>
    <t>MINE ALLERIA</t>
  </si>
  <si>
    <t>MNA</t>
  </si>
  <si>
    <t>NKI</t>
  </si>
  <si>
    <t>NUXE PRESTIGE</t>
  </si>
  <si>
    <t>NUP</t>
  </si>
  <si>
    <t>NUXE REVE MIEL</t>
  </si>
  <si>
    <t>NUX</t>
  </si>
  <si>
    <t>OCCEAN</t>
  </si>
  <si>
    <t>OCC</t>
  </si>
  <si>
    <t>OMNISENS</t>
  </si>
  <si>
    <t>OMN</t>
  </si>
  <si>
    <t>PASCAL MORABITO</t>
  </si>
  <si>
    <t>PMO</t>
  </si>
  <si>
    <t>P MORABITO</t>
  </si>
  <si>
    <t>PERRICONE</t>
  </si>
  <si>
    <t>PER</t>
  </si>
  <si>
    <t>PHYTOMER</t>
  </si>
  <si>
    <t>PHY</t>
  </si>
  <si>
    <t>PORTUS CALE PLUM FLOWER</t>
  </si>
  <si>
    <t>PLF</t>
  </si>
  <si>
    <t>PC PLUM FLOWER</t>
  </si>
  <si>
    <t>RAIZ</t>
  </si>
  <si>
    <t>RAI</t>
  </si>
  <si>
    <t>PORTUS CALE RUBY RED</t>
  </si>
  <si>
    <t>RUB</t>
  </si>
  <si>
    <t>PC RUBY RED</t>
  </si>
  <si>
    <t>SCANDINAVIAN WHITE</t>
  </si>
  <si>
    <t>SWH</t>
  </si>
  <si>
    <t>SCAND WHITE</t>
  </si>
  <si>
    <t>SUNDARI</t>
  </si>
  <si>
    <t>SUN</t>
  </si>
  <si>
    <t>THE VERT</t>
  </si>
  <si>
    <t>THV</t>
  </si>
  <si>
    <t>TRUSSARDI</t>
  </si>
  <si>
    <t>TRU</t>
  </si>
  <si>
    <t>TYPOLOGY</t>
  </si>
  <si>
    <t>TYP</t>
  </si>
  <si>
    <t>VINESIME</t>
  </si>
  <si>
    <t>VIS</t>
  </si>
  <si>
    <t>WHITE TEA</t>
  </si>
  <si>
    <t>WHT</t>
  </si>
  <si>
    <t>Outro</t>
  </si>
  <si>
    <t>0% Plastic Line</t>
  </si>
  <si>
    <t>RPL</t>
  </si>
  <si>
    <t>Cotonetes</t>
  </si>
  <si>
    <t>COT</t>
  </si>
  <si>
    <t>Escova</t>
  </si>
  <si>
    <t>ESC</t>
  </si>
  <si>
    <t>BAMBU</t>
  </si>
  <si>
    <t>BMB</t>
  </si>
  <si>
    <t>FRANCÊS</t>
  </si>
  <si>
    <t>ABC Line</t>
  </si>
  <si>
    <t>ABC</t>
  </si>
  <si>
    <t>Discos Desmaquilhante</t>
  </si>
  <si>
    <t>DIS</t>
  </si>
  <si>
    <t>Discos Desmaq</t>
  </si>
  <si>
    <t>Lâmina</t>
  </si>
  <si>
    <t>LAM</t>
  </si>
  <si>
    <t>STRAW</t>
  </si>
  <si>
    <t>STW</t>
  </si>
  <si>
    <t>INGLÊS</t>
  </si>
  <si>
    <t>ING</t>
  </si>
  <si>
    <t>Cornstarch Line</t>
  </si>
  <si>
    <t>COR</t>
  </si>
  <si>
    <t>Kit Barbear</t>
  </si>
  <si>
    <t>BAR</t>
  </si>
  <si>
    <t>PLÁSTICO</t>
  </si>
  <si>
    <t>PLA</t>
  </si>
  <si>
    <t>Exclusive Line</t>
  </si>
  <si>
    <t>EXC</t>
  </si>
  <si>
    <t>Kit Dental</t>
  </si>
  <si>
    <t>DEN</t>
  </si>
  <si>
    <t>Nature Line</t>
  </si>
  <si>
    <t>NAT</t>
  </si>
  <si>
    <t>Kit Vaidade</t>
  </si>
  <si>
    <t>VAI</t>
  </si>
  <si>
    <t>Rusty Line</t>
  </si>
  <si>
    <t>RUS</t>
  </si>
  <si>
    <t>Loofah</t>
  </si>
  <si>
    <t>LOO</t>
  </si>
  <si>
    <t>Luva Limpa Sapatos</t>
  </si>
  <si>
    <t>LUV</t>
  </si>
  <si>
    <t>Luva Limp Sapat</t>
  </si>
  <si>
    <t>Pente</t>
  </si>
  <si>
    <t>PEN</t>
  </si>
  <si>
    <t>Touca</t>
  </si>
  <si>
    <t>TOU</t>
  </si>
  <si>
    <t>Chinelos</t>
  </si>
  <si>
    <t>CHI</t>
  </si>
  <si>
    <t>Escova de dentes</t>
  </si>
  <si>
    <t>Escova dentes</t>
  </si>
  <si>
    <t>Peluche</t>
  </si>
  <si>
    <t>PEL</t>
  </si>
  <si>
    <t>Estojo</t>
  </si>
  <si>
    <t>EST</t>
  </si>
  <si>
    <t>Livro</t>
  </si>
  <si>
    <t>LIV</t>
  </si>
  <si>
    <t>SUPORTE</t>
  </si>
  <si>
    <t>SUP</t>
  </si>
  <si>
    <t>Duplo</t>
  </si>
  <si>
    <t>DUP</t>
  </si>
  <si>
    <t>ABS</t>
  </si>
  <si>
    <t>BRANCO</t>
  </si>
  <si>
    <t>BRA</t>
  </si>
  <si>
    <t>Branco Alu Classic</t>
  </si>
  <si>
    <t>Branco Alu Clas</t>
  </si>
  <si>
    <t>Duplo Magnético</t>
  </si>
  <si>
    <t>AÇO</t>
  </si>
  <si>
    <t>ACO</t>
  </si>
  <si>
    <t>PRETO</t>
  </si>
  <si>
    <t>PRT</t>
  </si>
  <si>
    <t>Branco Alu Slim</t>
  </si>
  <si>
    <t>Ind. Magnético</t>
  </si>
  <si>
    <t>IND</t>
  </si>
  <si>
    <t>INOX</t>
  </si>
  <si>
    <t>INX</t>
  </si>
  <si>
    <t>DOURADO</t>
  </si>
  <si>
    <t>DOU</t>
  </si>
  <si>
    <t>Preto Alu Classic</t>
  </si>
  <si>
    <t>Preto Alu Clas</t>
  </si>
  <si>
    <t>Individual</t>
  </si>
  <si>
    <t>ESCOVADO</t>
  </si>
  <si>
    <t>Preto Alu Slim</t>
  </si>
  <si>
    <t>Triplo</t>
  </si>
  <si>
    <t>TRI</t>
  </si>
  <si>
    <t>QUADRADO</t>
  </si>
  <si>
    <t>QUA</t>
  </si>
  <si>
    <t>TAMPER PROOF</t>
  </si>
  <si>
    <t>TPF</t>
  </si>
  <si>
    <t>ALL</t>
  </si>
  <si>
    <t>Fechado</t>
  </si>
  <si>
    <t>FEC</t>
  </si>
  <si>
    <t>SOLA EVA</t>
  </si>
  <si>
    <t>EVA</t>
  </si>
  <si>
    <t>28CM</t>
  </si>
  <si>
    <t>C019</t>
  </si>
  <si>
    <t>Aberto</t>
  </si>
  <si>
    <t>ABE</t>
  </si>
  <si>
    <t>PolyVelour</t>
  </si>
  <si>
    <t>PLV</t>
  </si>
  <si>
    <t>29CM</t>
  </si>
  <si>
    <t>C024</t>
  </si>
  <si>
    <t>Havaiana</t>
  </si>
  <si>
    <t>HAV</t>
  </si>
  <si>
    <t>30CM</t>
  </si>
  <si>
    <t>C026</t>
  </si>
  <si>
    <t>31CM</t>
  </si>
  <si>
    <t>C028</t>
  </si>
  <si>
    <t>C030</t>
  </si>
  <si>
    <t>C036</t>
  </si>
  <si>
    <t>CABIDES</t>
  </si>
  <si>
    <t>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</si>
</sst>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38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280D-6ECA-4EEC-A092-80E51EA42997}">
  <dimension ref="A1:AI58"/>
  <sheetViews>
    <sheetView tabSelected="1" topLeftCell="P1" zoomScale="110" zoomScaleNormal="110" workbookViewId="0">
      <selection activeCell="AG1" sqref="AG1:AG1048576"/>
    </sheetView>
  </sheetViews>
  <sheetFormatPr defaultRowHeight="15" customHeight="1"/>
  <cols>
    <col min="1" max="1" width="32.7109375" bestFit="1" customWidth="1"/>
    <col min="2" max="2" width="10.28515625" bestFit="1" customWidth="1"/>
    <col min="3" max="3" width="18.28515625" bestFit="1" customWidth="1"/>
    <col min="4" max="4" width="10" bestFit="1" customWidth="1"/>
    <col min="5" max="5" width="18.28515625" customWidth="1"/>
    <col min="7" max="7" width="17.42578125" bestFit="1" customWidth="1"/>
    <col min="9" max="9" width="15.140625" bestFit="1" customWidth="1"/>
    <col min="10" max="10" width="10" bestFit="1" customWidth="1"/>
    <col min="11" max="11" width="15.140625" customWidth="1"/>
    <col min="13" max="13" width="21.140625" bestFit="1" customWidth="1"/>
    <col min="15" max="15" width="15.140625" bestFit="1" customWidth="1"/>
    <col min="16" max="16" width="10" bestFit="1" customWidth="1"/>
    <col min="17" max="17" width="15.140625" customWidth="1"/>
    <col min="19" max="19" width="17.140625" bestFit="1" customWidth="1"/>
    <col min="21" max="21" width="15.140625" bestFit="1" customWidth="1"/>
    <col min="22" max="22" width="10" bestFit="1" customWidth="1"/>
    <col min="23" max="23" width="15.140625" customWidth="1"/>
    <col min="25" max="25" width="15.42578125" bestFit="1" customWidth="1"/>
    <col min="27" max="27" width="15.140625" bestFit="1" customWidth="1"/>
    <col min="28" max="28" width="10" bestFit="1" customWidth="1"/>
    <col min="29" max="29" width="15.140625" customWidth="1"/>
    <col min="31" max="31" width="7.85546875" bestFit="1" customWidth="1"/>
    <col min="33" max="33" width="15.140625" bestFit="1" customWidth="1"/>
    <col min="34" max="34" width="10" bestFit="1" customWidth="1"/>
    <col min="35" max="35" width="15.140625" customWidth="1"/>
  </cols>
  <sheetData>
    <row r="1" spans="1:35">
      <c r="A1" s="2" t="s">
        <v>0</v>
      </c>
      <c r="B1" t="s">
        <v>1</v>
      </c>
      <c r="C1" s="1" t="s">
        <v>2</v>
      </c>
      <c r="D1" t="s">
        <v>3</v>
      </c>
      <c r="E1" s="1" t="s">
        <v>4</v>
      </c>
      <c r="G1" s="2" t="s">
        <v>5</v>
      </c>
      <c r="H1" t="s">
        <v>1</v>
      </c>
      <c r="I1" s="1" t="s">
        <v>2</v>
      </c>
      <c r="J1" t="s">
        <v>3</v>
      </c>
      <c r="K1" s="1" t="s">
        <v>4</v>
      </c>
      <c r="M1" s="2" t="s">
        <v>6</v>
      </c>
      <c r="N1" t="s">
        <v>1</v>
      </c>
      <c r="O1" s="1" t="s">
        <v>2</v>
      </c>
      <c r="P1" t="s">
        <v>3</v>
      </c>
      <c r="Q1" s="1" t="s">
        <v>4</v>
      </c>
      <c r="S1" s="2" t="s">
        <v>7</v>
      </c>
      <c r="T1" t="s">
        <v>1</v>
      </c>
      <c r="U1" s="1" t="s">
        <v>2</v>
      </c>
      <c r="V1" t="s">
        <v>3</v>
      </c>
      <c r="W1" s="1" t="s">
        <v>4</v>
      </c>
      <c r="Y1" s="2" t="s">
        <v>8</v>
      </c>
      <c r="Z1" t="s">
        <v>1</v>
      </c>
      <c r="AA1" s="1" t="s">
        <v>2</v>
      </c>
      <c r="AB1" t="s">
        <v>3</v>
      </c>
      <c r="AC1" s="1" t="s">
        <v>4</v>
      </c>
      <c r="AE1" s="2" t="s">
        <v>9</v>
      </c>
      <c r="AF1" t="s">
        <v>1</v>
      </c>
      <c r="AG1" s="1" t="s">
        <v>2</v>
      </c>
      <c r="AH1" t="s">
        <v>3</v>
      </c>
      <c r="AI1" s="1" t="s">
        <v>4</v>
      </c>
    </row>
    <row r="2" spans="1:35">
      <c r="A2" t="s">
        <v>10</v>
      </c>
      <c r="B2" t="s">
        <v>11</v>
      </c>
      <c r="C2" t="s">
        <v>12</v>
      </c>
      <c r="D2">
        <f>LEN(A2)</f>
        <v>17</v>
      </c>
      <c r="E2">
        <f>LEN(C2)</f>
        <v>12</v>
      </c>
      <c r="G2" t="s">
        <v>13</v>
      </c>
      <c r="H2" t="s">
        <v>14</v>
      </c>
      <c r="I2" t="str">
        <f>IF(J2&lt;=15,G2,"")</f>
        <v>Bisnaga</v>
      </c>
      <c r="J2">
        <f>LEN(G2)</f>
        <v>7</v>
      </c>
      <c r="K2">
        <f>LEN(I2)</f>
        <v>7</v>
      </c>
      <c r="M2" t="s">
        <v>15</v>
      </c>
      <c r="N2" s="3" t="s">
        <v>16</v>
      </c>
      <c r="O2" t="s">
        <v>17</v>
      </c>
      <c r="P2">
        <f>LEN(M2)</f>
        <v>9</v>
      </c>
      <c r="Q2">
        <f>LEN(O2)</f>
        <v>13</v>
      </c>
      <c r="S2" t="s">
        <v>18</v>
      </c>
      <c r="T2">
        <v>30</v>
      </c>
      <c r="U2" t="str">
        <f>IF(V2&lt;15,S2,"")</f>
        <v>30ml</v>
      </c>
      <c r="V2">
        <f>LEN(S2)</f>
        <v>4</v>
      </c>
      <c r="W2">
        <f>LEN(U2)</f>
        <v>4</v>
      </c>
      <c r="Y2" t="s">
        <v>19</v>
      </c>
      <c r="Z2" t="s">
        <v>20</v>
      </c>
      <c r="AA2" t="str">
        <f>IF(AB2&lt;15,Y2,"")</f>
        <v>Caixa</v>
      </c>
      <c r="AB2">
        <f>LEN(Y2)</f>
        <v>5</v>
      </c>
      <c r="AC2">
        <f>LEN(AA2)</f>
        <v>5</v>
      </c>
      <c r="AE2" t="s">
        <v>21</v>
      </c>
      <c r="AF2" t="s">
        <v>21</v>
      </c>
      <c r="AG2" t="str">
        <f>IF(AH2&lt;=15,AE2,"")</f>
        <v>1.8</v>
      </c>
      <c r="AH2">
        <f t="shared" ref="AH2:AH14" si="0">LEN(AE2)</f>
        <v>3</v>
      </c>
      <c r="AI2">
        <f>LEN(AG2)</f>
        <v>3</v>
      </c>
    </row>
    <row r="3" spans="1:35">
      <c r="A3" t="s">
        <v>22</v>
      </c>
      <c r="B3" t="s">
        <v>23</v>
      </c>
      <c r="C3" t="s">
        <v>24</v>
      </c>
      <c r="D3">
        <f>LEN(A3)</f>
        <v>19</v>
      </c>
      <c r="E3">
        <f t="shared" ref="E3:E57" si="1">LEN(C3)</f>
        <v>8</v>
      </c>
      <c r="G3" t="s">
        <v>25</v>
      </c>
      <c r="H3" t="s">
        <v>26</v>
      </c>
      <c r="I3" t="str">
        <f>IF(J3&lt;=15,G3,"")</f>
        <v>ECOFILL</v>
      </c>
      <c r="J3">
        <f t="shared" ref="J3:J14" si="2">LEN(G3)</f>
        <v>7</v>
      </c>
      <c r="K3">
        <f>LEN(I3)</f>
        <v>7</v>
      </c>
      <c r="M3" t="s">
        <v>27</v>
      </c>
      <c r="N3" t="s">
        <v>28</v>
      </c>
      <c r="O3" t="str">
        <f>IF(P3&lt;=15,M3,"")</f>
        <v>Body Lotion</v>
      </c>
      <c r="P3">
        <f t="shared" ref="P3:P13" si="3">LEN(M3)</f>
        <v>11</v>
      </c>
      <c r="Q3">
        <f>LEN(O3)</f>
        <v>11</v>
      </c>
      <c r="S3" t="s">
        <v>29</v>
      </c>
      <c r="T3">
        <v>30</v>
      </c>
      <c r="U3" t="str">
        <f>IF(V3&lt;15,S3,"")</f>
        <v>30gr</v>
      </c>
      <c r="V3">
        <f t="shared" ref="V3:V15" si="4">LEN(S3)</f>
        <v>4</v>
      </c>
      <c r="W3">
        <f>LEN(U3)</f>
        <v>4</v>
      </c>
      <c r="Y3" t="s">
        <v>30</v>
      </c>
      <c r="Z3" t="s">
        <v>31</v>
      </c>
      <c r="AA3" t="str">
        <f>IF(AB3&lt;15,Y3,"")</f>
        <v>Papel</v>
      </c>
      <c r="AB3">
        <f t="shared" ref="AB3:AB7" si="5">LEN(Y3)</f>
        <v>5</v>
      </c>
      <c r="AC3">
        <f>LEN(AA3)</f>
        <v>5</v>
      </c>
      <c r="AE3" t="s">
        <v>32</v>
      </c>
      <c r="AF3" t="s">
        <v>33</v>
      </c>
      <c r="AG3" t="str">
        <f>IF(AH3&lt;=15,AE3,"")</f>
        <v>Clássico</v>
      </c>
      <c r="AH3">
        <f t="shared" si="0"/>
        <v>8</v>
      </c>
      <c r="AI3">
        <f>LEN(AG3)</f>
        <v>8</v>
      </c>
    </row>
    <row r="4" spans="1:35">
      <c r="A4" t="s">
        <v>34</v>
      </c>
      <c r="B4" t="s">
        <v>35</v>
      </c>
      <c r="C4" t="s">
        <v>36</v>
      </c>
      <c r="D4">
        <f>LEN(A4)</f>
        <v>19</v>
      </c>
      <c r="E4">
        <f t="shared" si="1"/>
        <v>13</v>
      </c>
      <c r="G4" t="s">
        <v>37</v>
      </c>
      <c r="H4" t="s">
        <v>38</v>
      </c>
      <c r="I4" t="str">
        <f>IF(J4&lt;=15,G4,"")</f>
        <v>Ecopump</v>
      </c>
      <c r="J4">
        <f t="shared" si="2"/>
        <v>7</v>
      </c>
      <c r="K4">
        <f>LEN(I4)</f>
        <v>7</v>
      </c>
      <c r="M4" t="s">
        <v>39</v>
      </c>
      <c r="N4" t="s">
        <v>40</v>
      </c>
      <c r="O4" t="str">
        <f>IF(P4&lt;=15,M4,"")</f>
        <v>Champô</v>
      </c>
      <c r="P4">
        <f t="shared" si="3"/>
        <v>6</v>
      </c>
      <c r="Q4">
        <f>LEN(O4)</f>
        <v>6</v>
      </c>
      <c r="S4" t="s">
        <v>41</v>
      </c>
      <c r="T4">
        <v>400</v>
      </c>
      <c r="U4" t="str">
        <f>IF(V4&lt;15,S4,"")</f>
        <v>400ml</v>
      </c>
      <c r="V4">
        <f t="shared" si="4"/>
        <v>5</v>
      </c>
      <c r="W4">
        <f>LEN(U4)</f>
        <v>5</v>
      </c>
      <c r="Y4" t="s">
        <v>42</v>
      </c>
      <c r="Z4" t="s">
        <v>43</v>
      </c>
      <c r="AA4" t="str">
        <f>IF(AB4&lt;15,Y4,"")</f>
        <v>Sugar Cane</v>
      </c>
      <c r="AB4">
        <f t="shared" si="5"/>
        <v>10</v>
      </c>
      <c r="AC4">
        <f>LEN(AA4)</f>
        <v>10</v>
      </c>
      <c r="AE4" t="s">
        <v>44</v>
      </c>
      <c r="AF4" t="s">
        <v>44</v>
      </c>
      <c r="AG4" t="str">
        <f>IF(AH4&lt;=15,AE4,"")</f>
        <v>PLC</v>
      </c>
      <c r="AH4">
        <f t="shared" si="0"/>
        <v>3</v>
      </c>
      <c r="AI4">
        <f>LEN(AG4)</f>
        <v>3</v>
      </c>
    </row>
    <row r="5" spans="1:35">
      <c r="A5" t="s">
        <v>45</v>
      </c>
      <c r="B5" t="s">
        <v>46</v>
      </c>
      <c r="C5" t="str">
        <f>IF(D5&lt;=15,A5,"")</f>
        <v>ALQVIMIA</v>
      </c>
      <c r="D5">
        <f>LEN(A5)</f>
        <v>8</v>
      </c>
      <c r="E5">
        <f t="shared" si="1"/>
        <v>8</v>
      </c>
      <c r="G5" t="s">
        <v>47</v>
      </c>
      <c r="H5" t="s">
        <v>48</v>
      </c>
      <c r="I5" t="str">
        <f>IF(J5&lt;=15,G5,"")</f>
        <v>Frasco</v>
      </c>
      <c r="J5">
        <f t="shared" si="2"/>
        <v>6</v>
      </c>
      <c r="K5">
        <f>LEN(I5)</f>
        <v>6</v>
      </c>
      <c r="M5" t="s">
        <v>49</v>
      </c>
      <c r="N5" s="3" t="s">
        <v>50</v>
      </c>
      <c r="O5" t="s">
        <v>51</v>
      </c>
      <c r="P5">
        <f t="shared" si="3"/>
        <v>16</v>
      </c>
      <c r="Q5">
        <f>LEN(O5)</f>
        <v>11</v>
      </c>
      <c r="S5" t="s">
        <v>52</v>
      </c>
      <c r="T5">
        <v>300</v>
      </c>
      <c r="U5" t="str">
        <f>IF(V5&lt;15,S5,"")</f>
        <v>300ml</v>
      </c>
      <c r="V5">
        <f t="shared" si="4"/>
        <v>5</v>
      </c>
      <c r="W5">
        <f>LEN(U5)</f>
        <v>5</v>
      </c>
      <c r="Y5" t="s">
        <v>53</v>
      </c>
      <c r="Z5" t="s">
        <v>53</v>
      </c>
      <c r="AA5" t="str">
        <f>IF(AB5&lt;15,Y5,"")</f>
        <v>VAZ</v>
      </c>
      <c r="AB5">
        <f t="shared" si="5"/>
        <v>3</v>
      </c>
      <c r="AC5">
        <f>LEN(AA5)</f>
        <v>3</v>
      </c>
      <c r="AE5" t="s">
        <v>54</v>
      </c>
      <c r="AF5" t="s">
        <v>54</v>
      </c>
      <c r="AG5" t="str">
        <f>IF(AH5&lt;=15,AE5,"")</f>
        <v>PLP</v>
      </c>
      <c r="AH5">
        <f t="shared" si="0"/>
        <v>3</v>
      </c>
      <c r="AI5">
        <f>LEN(AG5)</f>
        <v>3</v>
      </c>
    </row>
    <row r="6" spans="1:35">
      <c r="A6" t="s">
        <v>55</v>
      </c>
      <c r="B6" t="s">
        <v>56</v>
      </c>
      <c r="C6" t="str">
        <f>IF(D6&lt;=15,A6,"")</f>
        <v>AMIMO</v>
      </c>
      <c r="D6">
        <f>LEN(A6)</f>
        <v>5</v>
      </c>
      <c r="E6">
        <f t="shared" si="1"/>
        <v>5</v>
      </c>
      <c r="G6" t="s">
        <v>57</v>
      </c>
      <c r="H6" t="s">
        <v>26</v>
      </c>
      <c r="I6" t="s">
        <v>57</v>
      </c>
      <c r="J6">
        <f t="shared" si="2"/>
        <v>15</v>
      </c>
      <c r="K6">
        <f>LEN(I6)</f>
        <v>15</v>
      </c>
      <c r="M6" t="s">
        <v>58</v>
      </c>
      <c r="N6" t="s">
        <v>59</v>
      </c>
      <c r="O6" t="str">
        <f>IF(P6&lt;=15,M6,"")</f>
        <v>Gel Banho</v>
      </c>
      <c r="P6">
        <f t="shared" si="3"/>
        <v>9</v>
      </c>
      <c r="Q6">
        <f>LEN(O6)</f>
        <v>9</v>
      </c>
      <c r="S6" t="s">
        <v>60</v>
      </c>
      <c r="T6">
        <v>375</v>
      </c>
      <c r="U6" t="str">
        <f>IF(V6&lt;15,S6,"")</f>
        <v>375ml</v>
      </c>
      <c r="V6">
        <f t="shared" si="4"/>
        <v>5</v>
      </c>
      <c r="W6">
        <f>LEN(U6)</f>
        <v>5</v>
      </c>
      <c r="Y6" t="s">
        <v>61</v>
      </c>
      <c r="Z6" t="s">
        <v>62</v>
      </c>
      <c r="AA6" t="str">
        <f>IF(AB6&lt;15,Y6,"")</f>
        <v>Bolsa</v>
      </c>
      <c r="AB6">
        <f t="shared" si="5"/>
        <v>5</v>
      </c>
      <c r="AC6">
        <f>LEN(AA6)</f>
        <v>5</v>
      </c>
      <c r="AE6" t="s">
        <v>63</v>
      </c>
      <c r="AF6" t="s">
        <v>64</v>
      </c>
      <c r="AG6" t="str">
        <f>IF(AH6&lt;=15,AE6,"")</f>
        <v>SLIM</v>
      </c>
      <c r="AH6">
        <f t="shared" si="0"/>
        <v>4</v>
      </c>
      <c r="AI6">
        <f>LEN(AG6)</f>
        <v>4</v>
      </c>
    </row>
    <row r="7" spans="1:35">
      <c r="A7" t="s">
        <v>65</v>
      </c>
      <c r="B7" t="s">
        <v>66</v>
      </c>
      <c r="C7" t="s">
        <v>67</v>
      </c>
      <c r="D7">
        <f>LEN(A7)</f>
        <v>12</v>
      </c>
      <c r="E7">
        <f t="shared" si="1"/>
        <v>11</v>
      </c>
      <c r="G7" t="s">
        <v>68</v>
      </c>
      <c r="H7" t="s">
        <v>69</v>
      </c>
      <c r="I7" t="str">
        <f>IF(J7&lt;=15,G7,"")</f>
        <v>Ghost</v>
      </c>
      <c r="J7">
        <f t="shared" si="2"/>
        <v>5</v>
      </c>
      <c r="K7">
        <f>LEN(I7)</f>
        <v>5</v>
      </c>
      <c r="M7" t="s">
        <v>70</v>
      </c>
      <c r="N7" t="s">
        <v>71</v>
      </c>
      <c r="O7" t="s">
        <v>72</v>
      </c>
      <c r="P7">
        <f t="shared" si="3"/>
        <v>16</v>
      </c>
      <c r="Q7">
        <f>LEN(O7)</f>
        <v>15</v>
      </c>
      <c r="S7" t="s">
        <v>73</v>
      </c>
      <c r="T7">
        <v>100</v>
      </c>
      <c r="U7" t="str">
        <f>IF(V7&lt;15,S7,"")</f>
        <v>100gr</v>
      </c>
      <c r="V7">
        <f t="shared" si="4"/>
        <v>5</v>
      </c>
      <c r="W7">
        <f>LEN(U7)</f>
        <v>5</v>
      </c>
      <c r="Y7" t="s">
        <v>74</v>
      </c>
      <c r="Z7" t="s">
        <v>75</v>
      </c>
      <c r="AA7" t="str">
        <f>IF(AB7&lt;15,Y7,"")</f>
        <v>Plást. Rec.</v>
      </c>
      <c r="AB7">
        <f t="shared" si="5"/>
        <v>11</v>
      </c>
      <c r="AC7">
        <f>LEN(AA7)</f>
        <v>11</v>
      </c>
      <c r="AE7" t="s">
        <v>76</v>
      </c>
      <c r="AF7" t="s">
        <v>76</v>
      </c>
      <c r="AG7" t="str">
        <f>IF(AH7&lt;=15,AE7,"")</f>
        <v>V01</v>
      </c>
      <c r="AH7">
        <f t="shared" si="0"/>
        <v>3</v>
      </c>
      <c r="AI7">
        <f>LEN(AG7)</f>
        <v>3</v>
      </c>
    </row>
    <row r="8" spans="1:35">
      <c r="A8" t="s">
        <v>77</v>
      </c>
      <c r="B8" t="s">
        <v>78</v>
      </c>
      <c r="C8" t="s">
        <v>79</v>
      </c>
      <c r="D8">
        <f>LEN(A8)</f>
        <v>22</v>
      </c>
      <c r="E8">
        <f t="shared" si="1"/>
        <v>15</v>
      </c>
      <c r="G8" t="s">
        <v>80</v>
      </c>
      <c r="H8" t="s">
        <v>81</v>
      </c>
      <c r="I8" t="str">
        <f>IF(J8&lt;=15,G8,"")</f>
        <v>Manhattan</v>
      </c>
      <c r="J8">
        <f t="shared" si="2"/>
        <v>9</v>
      </c>
      <c r="K8">
        <f>LEN(I8)</f>
        <v>9</v>
      </c>
      <c r="M8" t="s">
        <v>82</v>
      </c>
      <c r="N8" t="s">
        <v>59</v>
      </c>
      <c r="O8" t="str">
        <f>IF(P8&lt;=15,M8,"")</f>
        <v>Gel Mãos Corpo</v>
      </c>
      <c r="P8">
        <f t="shared" si="3"/>
        <v>14</v>
      </c>
      <c r="Q8">
        <f>LEN(O8)</f>
        <v>14</v>
      </c>
      <c r="S8" t="s">
        <v>83</v>
      </c>
      <c r="T8">
        <v>500</v>
      </c>
      <c r="U8" t="str">
        <f>IF(V8&lt;15,S8,"")</f>
        <v>500ml</v>
      </c>
      <c r="V8">
        <f t="shared" si="4"/>
        <v>5</v>
      </c>
      <c r="W8">
        <f>LEN(U8)</f>
        <v>5</v>
      </c>
      <c r="AE8" t="s">
        <v>84</v>
      </c>
      <c r="AF8" t="s">
        <v>84</v>
      </c>
      <c r="AG8" t="str">
        <f>IF(AH8&lt;=15,AE8,"")</f>
        <v>V02</v>
      </c>
      <c r="AH8">
        <f t="shared" si="0"/>
        <v>3</v>
      </c>
      <c r="AI8">
        <f>LEN(AG8)</f>
        <v>3</v>
      </c>
    </row>
    <row r="9" spans="1:35">
      <c r="A9" t="s">
        <v>85</v>
      </c>
      <c r="B9" t="s">
        <v>86</v>
      </c>
      <c r="C9" t="str">
        <f>IF(D9&lt;=15,A9,"")</f>
        <v>AZZARO</v>
      </c>
      <c r="D9">
        <f>LEN(A9)</f>
        <v>6</v>
      </c>
      <c r="E9">
        <f t="shared" si="1"/>
        <v>6</v>
      </c>
      <c r="G9" t="s">
        <v>87</v>
      </c>
      <c r="H9" t="s">
        <v>88</v>
      </c>
      <c r="I9" t="s">
        <v>89</v>
      </c>
      <c r="J9">
        <f t="shared" si="2"/>
        <v>10</v>
      </c>
      <c r="K9">
        <f>LEN(I9)</f>
        <v>6</v>
      </c>
      <c r="M9" t="s">
        <v>90</v>
      </c>
      <c r="N9" s="3" t="s">
        <v>91</v>
      </c>
      <c r="O9" t="str">
        <f>IF(P9&lt;=15,M9,"")</f>
        <v>Loção Mão Corpo</v>
      </c>
      <c r="P9">
        <f t="shared" si="3"/>
        <v>15</v>
      </c>
      <c r="Q9">
        <f>LEN(O9)</f>
        <v>15</v>
      </c>
      <c r="S9" t="s">
        <v>92</v>
      </c>
      <c r="T9">
        <v>20</v>
      </c>
      <c r="U9" t="str">
        <f>IF(V9&lt;15,S9,"")</f>
        <v>20gr</v>
      </c>
      <c r="V9">
        <f t="shared" si="4"/>
        <v>4</v>
      </c>
      <c r="W9">
        <f>LEN(U9)</f>
        <v>4</v>
      </c>
      <c r="AE9" t="s">
        <v>93</v>
      </c>
      <c r="AF9" t="s">
        <v>93</v>
      </c>
      <c r="AG9" t="str">
        <f>IF(AH9&lt;=15,AE9,"")</f>
        <v>V03</v>
      </c>
      <c r="AH9">
        <f t="shared" si="0"/>
        <v>3</v>
      </c>
      <c r="AI9">
        <f>LEN(AG9)</f>
        <v>3</v>
      </c>
    </row>
    <row r="10" spans="1:35">
      <c r="A10" t="s">
        <v>94</v>
      </c>
      <c r="B10" t="s">
        <v>95</v>
      </c>
      <c r="C10" t="s">
        <v>96</v>
      </c>
      <c r="D10">
        <f>LEN(A10)</f>
        <v>12</v>
      </c>
      <c r="E10">
        <f t="shared" si="1"/>
        <v>7</v>
      </c>
      <c r="G10" t="s">
        <v>97</v>
      </c>
      <c r="H10" t="s">
        <v>26</v>
      </c>
      <c r="I10" t="s">
        <v>98</v>
      </c>
      <c r="J10">
        <f t="shared" si="2"/>
        <v>15</v>
      </c>
      <c r="K10">
        <f>LEN(I10)</f>
        <v>11</v>
      </c>
      <c r="M10" t="s">
        <v>99</v>
      </c>
      <c r="N10" t="s">
        <v>100</v>
      </c>
      <c r="O10" t="str">
        <f>IF(P10&lt;=15,M10,"")</f>
        <v>Sabonete</v>
      </c>
      <c r="P10">
        <f t="shared" si="3"/>
        <v>8</v>
      </c>
      <c r="Q10">
        <f>LEN(O10)</f>
        <v>8</v>
      </c>
      <c r="S10" t="s">
        <v>101</v>
      </c>
      <c r="T10">
        <v>25</v>
      </c>
      <c r="U10" t="str">
        <f>IF(V10&lt;15,S10,"")</f>
        <v>25gr</v>
      </c>
      <c r="V10">
        <f t="shared" si="4"/>
        <v>4</v>
      </c>
      <c r="W10">
        <f>LEN(U10)</f>
        <v>4</v>
      </c>
      <c r="AE10" t="s">
        <v>102</v>
      </c>
      <c r="AF10" t="s">
        <v>102</v>
      </c>
      <c r="AG10" t="str">
        <f>IF(AH10&lt;=15,AE10,"")</f>
        <v>V04</v>
      </c>
      <c r="AH10">
        <f t="shared" si="0"/>
        <v>3</v>
      </c>
      <c r="AI10">
        <f>LEN(AG10)</f>
        <v>3</v>
      </c>
    </row>
    <row r="11" spans="1:35">
      <c r="A11" t="s">
        <v>103</v>
      </c>
      <c r="B11" t="s">
        <v>104</v>
      </c>
      <c r="C11" t="s">
        <v>105</v>
      </c>
      <c r="D11">
        <f>LEN(A11)</f>
        <v>15</v>
      </c>
      <c r="E11">
        <f t="shared" si="1"/>
        <v>11</v>
      </c>
      <c r="G11" t="s">
        <v>106</v>
      </c>
      <c r="H11" t="s">
        <v>107</v>
      </c>
      <c r="I11" t="s">
        <v>108</v>
      </c>
      <c r="J11">
        <f t="shared" si="2"/>
        <v>16</v>
      </c>
      <c r="K11">
        <f>LEN(I11)</f>
        <v>13</v>
      </c>
      <c r="M11" t="s">
        <v>109</v>
      </c>
      <c r="N11" t="s">
        <v>100</v>
      </c>
      <c r="O11" t="str">
        <f>IF(P11&lt;=15,M11,"")</f>
        <v>Sab Líquido</v>
      </c>
      <c r="P11">
        <f t="shared" si="3"/>
        <v>11</v>
      </c>
      <c r="Q11">
        <f>LEN(O11)</f>
        <v>11</v>
      </c>
      <c r="S11" t="s">
        <v>110</v>
      </c>
      <c r="T11">
        <v>40</v>
      </c>
      <c r="U11" t="str">
        <f>IF(V11&lt;15,S11,"")</f>
        <v>40gr</v>
      </c>
      <c r="V11">
        <f t="shared" si="4"/>
        <v>4</v>
      </c>
      <c r="W11">
        <f>LEN(U11)</f>
        <v>4</v>
      </c>
      <c r="AE11" t="s">
        <v>111</v>
      </c>
      <c r="AF11" t="s">
        <v>111</v>
      </c>
      <c r="AG11" t="str">
        <f>IF(AH11&lt;=15,AE11,"")</f>
        <v>V05</v>
      </c>
      <c r="AH11">
        <f t="shared" si="0"/>
        <v>3</v>
      </c>
      <c r="AI11">
        <f>LEN(AG11)</f>
        <v>3</v>
      </c>
    </row>
    <row r="12" spans="1:35">
      <c r="A12" t="s">
        <v>112</v>
      </c>
      <c r="B12" t="s">
        <v>113</v>
      </c>
      <c r="C12" t="str">
        <f>IF(D12&lt;=15,A12,"")</f>
        <v>BIENVENUE</v>
      </c>
      <c r="D12">
        <f>LEN(A12)</f>
        <v>9</v>
      </c>
      <c r="E12">
        <f t="shared" si="1"/>
        <v>9</v>
      </c>
      <c r="G12" t="s">
        <v>114</v>
      </c>
      <c r="H12" t="s">
        <v>115</v>
      </c>
      <c r="I12" t="str">
        <f>IF(J12&lt;=15,G12,"")</f>
        <v>Sólido</v>
      </c>
      <c r="J12">
        <f t="shared" si="2"/>
        <v>6</v>
      </c>
      <c r="K12">
        <f>LEN(I12)</f>
        <v>6</v>
      </c>
      <c r="M12" t="s">
        <v>116</v>
      </c>
      <c r="N12" s="3" t="s">
        <v>117</v>
      </c>
      <c r="O12" t="str">
        <f>IF(P12&lt;=15,M12,"")</f>
        <v>Sais de Banho</v>
      </c>
      <c r="P12">
        <f t="shared" si="3"/>
        <v>13</v>
      </c>
      <c r="Q12">
        <f>LEN(O12)</f>
        <v>13</v>
      </c>
      <c r="S12" t="s">
        <v>118</v>
      </c>
      <c r="T12">
        <v>40</v>
      </c>
      <c r="U12" t="str">
        <f>IF(V12&lt;15,S12,"")</f>
        <v>40ml</v>
      </c>
      <c r="V12">
        <f t="shared" si="4"/>
        <v>4</v>
      </c>
      <c r="W12">
        <f>LEN(U12)</f>
        <v>4</v>
      </c>
      <c r="AE12" t="s">
        <v>119</v>
      </c>
      <c r="AF12" t="s">
        <v>119</v>
      </c>
      <c r="AG12" t="str">
        <f>IF(AH12&lt;=15,AE12,"")</f>
        <v>V06</v>
      </c>
      <c r="AH12">
        <f t="shared" si="0"/>
        <v>3</v>
      </c>
      <c r="AI12">
        <f>LEN(AG12)</f>
        <v>3</v>
      </c>
    </row>
    <row r="13" spans="1:35">
      <c r="A13" t="s">
        <v>120</v>
      </c>
      <c r="B13" t="s">
        <v>121</v>
      </c>
      <c r="C13" t="s">
        <v>122</v>
      </c>
      <c r="D13">
        <f>LEN(A13)</f>
        <v>12</v>
      </c>
      <c r="E13">
        <f t="shared" si="1"/>
        <v>7</v>
      </c>
      <c r="G13" t="s">
        <v>123</v>
      </c>
      <c r="H13" s="1" t="s">
        <v>124</v>
      </c>
      <c r="I13" t="str">
        <f>IF(J13&lt;=15,G13,"")</f>
        <v>Stick</v>
      </c>
      <c r="J13">
        <f t="shared" si="2"/>
        <v>5</v>
      </c>
      <c r="K13">
        <f>LEN(I13)</f>
        <v>5</v>
      </c>
      <c r="M13" t="s">
        <v>125</v>
      </c>
      <c r="N13" s="3" t="s">
        <v>126</v>
      </c>
      <c r="O13" t="str">
        <f>IF(P13&lt;=15,M13,"")</f>
        <v>Loção Mão</v>
      </c>
      <c r="P13">
        <f t="shared" si="3"/>
        <v>9</v>
      </c>
      <c r="Q13">
        <f>LEN(O13)</f>
        <v>9</v>
      </c>
      <c r="S13" t="s">
        <v>127</v>
      </c>
      <c r="T13">
        <v>50</v>
      </c>
      <c r="U13" t="str">
        <f>IF(V13&lt;15,S13,"")</f>
        <v>50ml</v>
      </c>
      <c r="V13">
        <f t="shared" si="4"/>
        <v>4</v>
      </c>
      <c r="W13">
        <f>LEN(U13)</f>
        <v>4</v>
      </c>
      <c r="AE13" t="s">
        <v>128</v>
      </c>
      <c r="AG13" t="str">
        <f>IF(AH13&lt;=15,AE13,"")</f>
        <v>Bordeaux</v>
      </c>
      <c r="AH13">
        <f t="shared" si="0"/>
        <v>8</v>
      </c>
      <c r="AI13">
        <f>LEN(AG13)</f>
        <v>8</v>
      </c>
    </row>
    <row r="14" spans="1:35">
      <c r="A14" t="s">
        <v>129</v>
      </c>
      <c r="B14" t="s">
        <v>130</v>
      </c>
      <c r="C14" t="s">
        <v>131</v>
      </c>
      <c r="D14">
        <f>LEN(A14)</f>
        <v>19</v>
      </c>
      <c r="E14">
        <f t="shared" si="1"/>
        <v>13</v>
      </c>
      <c r="G14" t="s">
        <v>132</v>
      </c>
      <c r="H14" t="s">
        <v>133</v>
      </c>
      <c r="I14" t="s">
        <v>132</v>
      </c>
      <c r="J14">
        <f t="shared" si="2"/>
        <v>4</v>
      </c>
      <c r="K14">
        <f>LEN(I14)</f>
        <v>4</v>
      </c>
      <c r="S14" t="s">
        <v>134</v>
      </c>
      <c r="T14">
        <v>60</v>
      </c>
      <c r="U14" t="str">
        <f>IF(V14&lt;15,S14,"")</f>
        <v>60ml</v>
      </c>
      <c r="V14">
        <f t="shared" si="4"/>
        <v>4</v>
      </c>
      <c r="W14">
        <f>LEN(U14)</f>
        <v>4</v>
      </c>
      <c r="AE14" t="s">
        <v>135</v>
      </c>
      <c r="AG14" t="str">
        <f>IF(AH14&lt;=15,AE14,"")</f>
        <v>Branco</v>
      </c>
      <c r="AH14">
        <f t="shared" si="0"/>
        <v>6</v>
      </c>
      <c r="AI14">
        <f>LEN(AG14)</f>
        <v>6</v>
      </c>
    </row>
    <row r="15" spans="1:35">
      <c r="A15" t="s">
        <v>136</v>
      </c>
      <c r="B15" t="s">
        <v>137</v>
      </c>
      <c r="C15" t="s">
        <v>138</v>
      </c>
      <c r="D15">
        <f>LEN(A15)</f>
        <v>26</v>
      </c>
      <c r="E15">
        <f t="shared" si="1"/>
        <v>17</v>
      </c>
      <c r="S15" t="s">
        <v>139</v>
      </c>
      <c r="T15">
        <v>80</v>
      </c>
      <c r="U15" t="str">
        <f>IF(V15&lt;15,S15,"")</f>
        <v>80ml</v>
      </c>
      <c r="V15">
        <f t="shared" si="4"/>
        <v>4</v>
      </c>
      <c r="W15">
        <f>LEN(U15)</f>
        <v>4</v>
      </c>
    </row>
    <row r="16" spans="1:35">
      <c r="A16" t="s">
        <v>140</v>
      </c>
      <c r="B16" t="s">
        <v>141</v>
      </c>
      <c r="C16" t="s">
        <v>142</v>
      </c>
      <c r="D16">
        <f>LEN(A16)</f>
        <v>13</v>
      </c>
      <c r="E16">
        <f t="shared" si="1"/>
        <v>17</v>
      </c>
    </row>
    <row r="17" spans="1:5">
      <c r="A17" t="s">
        <v>143</v>
      </c>
      <c r="B17" t="s">
        <v>144</v>
      </c>
      <c r="C17" t="s">
        <v>145</v>
      </c>
      <c r="D17">
        <f>LEN(A17)</f>
        <v>11</v>
      </c>
      <c r="E17">
        <f>LEN(C17)</f>
        <v>8</v>
      </c>
    </row>
    <row r="18" spans="1:5">
      <c r="A18" t="s">
        <v>146</v>
      </c>
      <c r="B18" t="s">
        <v>147</v>
      </c>
      <c r="C18" t="s">
        <v>148</v>
      </c>
      <c r="D18">
        <f>LEN(A18)</f>
        <v>7</v>
      </c>
      <c r="E18">
        <f>LEN(C18)</f>
        <v>15</v>
      </c>
    </row>
    <row r="19" spans="1:5">
      <c r="A19" t="s">
        <v>149</v>
      </c>
      <c r="B19" t="s">
        <v>150</v>
      </c>
      <c r="C19" t="str">
        <f>IF(D19&lt;=15,A19,"")</f>
        <v>CODAGE</v>
      </c>
      <c r="D19">
        <f>LEN(A19)</f>
        <v>6</v>
      </c>
      <c r="E19">
        <f>LEN(C19)</f>
        <v>6</v>
      </c>
    </row>
    <row r="20" spans="1:5">
      <c r="A20" t="s">
        <v>151</v>
      </c>
      <c r="B20" t="s">
        <v>152</v>
      </c>
      <c r="C20" t="s">
        <v>153</v>
      </c>
      <c r="D20">
        <f>LEN(A20)</f>
        <v>31</v>
      </c>
      <c r="E20">
        <f>LEN(C20)</f>
        <v>15</v>
      </c>
    </row>
    <row r="21" spans="1:5">
      <c r="A21" t="s">
        <v>154</v>
      </c>
      <c r="B21" t="s">
        <v>155</v>
      </c>
      <c r="C21" t="s">
        <v>156</v>
      </c>
      <c r="E21">
        <f>LEN(C21)</f>
        <v>14</v>
      </c>
    </row>
    <row r="22" spans="1:5">
      <c r="A22" t="s">
        <v>157</v>
      </c>
      <c r="B22" t="s">
        <v>158</v>
      </c>
      <c r="C22" t="s">
        <v>159</v>
      </c>
      <c r="D22">
        <f>LEN(A22)</f>
        <v>10</v>
      </c>
      <c r="E22">
        <f>LEN(C22)</f>
        <v>7</v>
      </c>
    </row>
    <row r="23" spans="1:5">
      <c r="A23" t="s">
        <v>160</v>
      </c>
      <c r="B23" t="s">
        <v>161</v>
      </c>
      <c r="C23" t="s">
        <v>162</v>
      </c>
      <c r="D23">
        <f>LEN(A23)</f>
        <v>14</v>
      </c>
      <c r="E23">
        <f>LEN(C23)</f>
        <v>11</v>
      </c>
    </row>
    <row r="24" spans="1:5">
      <c r="A24" t="s">
        <v>163</v>
      </c>
      <c r="B24" t="s">
        <v>164</v>
      </c>
      <c r="C24" t="str">
        <f>IF(D24&lt;=15,A24,"")</f>
        <v>DAVEIA</v>
      </c>
      <c r="D24">
        <f>LEN(A24)</f>
        <v>6</v>
      </c>
      <c r="E24">
        <f>LEN(C24)</f>
        <v>6</v>
      </c>
    </row>
    <row r="25" spans="1:5">
      <c r="A25" t="s">
        <v>165</v>
      </c>
      <c r="B25" t="s">
        <v>166</v>
      </c>
      <c r="C25" t="str">
        <f>IF(D25&lt;=15,A25,"")</f>
        <v>EDPFM INDELEBIL</v>
      </c>
      <c r="D25">
        <f>LEN(A25)</f>
        <v>15</v>
      </c>
      <c r="E25">
        <f>LEN(C25)</f>
        <v>15</v>
      </c>
    </row>
    <row r="26" spans="1:5">
      <c r="A26" t="s">
        <v>167</v>
      </c>
      <c r="B26" t="s">
        <v>168</v>
      </c>
      <c r="C26" t="str">
        <f>IF(D26&lt;=15,A26,"")</f>
        <v>FAACE</v>
      </c>
      <c r="D26">
        <f>LEN(A26)</f>
        <v>5</v>
      </c>
      <c r="E26">
        <f>LEN(C26)</f>
        <v>5</v>
      </c>
    </row>
    <row r="27" spans="1:5">
      <c r="A27" t="s">
        <v>169</v>
      </c>
      <c r="B27" t="s">
        <v>170</v>
      </c>
      <c r="C27" t="s">
        <v>171</v>
      </c>
      <c r="D27">
        <f>LEN(A27)</f>
        <v>23</v>
      </c>
      <c r="E27">
        <f>LEN(C27)</f>
        <v>12</v>
      </c>
    </row>
    <row r="28" spans="1:5">
      <c r="A28" t="s">
        <v>172</v>
      </c>
      <c r="B28" t="s">
        <v>173</v>
      </c>
      <c r="C28" t="s">
        <v>174</v>
      </c>
      <c r="D28">
        <f>LEN(A28)</f>
        <v>25</v>
      </c>
      <c r="E28">
        <f>LEN(C28)</f>
        <v>15</v>
      </c>
    </row>
    <row r="29" spans="1:5">
      <c r="A29" t="s">
        <v>175</v>
      </c>
      <c r="B29" t="s">
        <v>176</v>
      </c>
      <c r="C29" t="s">
        <v>177</v>
      </c>
      <c r="D29">
        <f>LEN(A29)</f>
        <v>29</v>
      </c>
      <c r="E29">
        <f>LEN(C29)</f>
        <v>14</v>
      </c>
    </row>
    <row r="30" spans="1:5">
      <c r="A30" t="s">
        <v>178</v>
      </c>
      <c r="B30" t="s">
        <v>179</v>
      </c>
      <c r="C30" t="str">
        <f>IF(D30&lt;=15,A30,"")</f>
        <v>EDPFM MAGNOLIA</v>
      </c>
      <c r="D30">
        <f>LEN(A30)</f>
        <v>14</v>
      </c>
      <c r="E30">
        <f>LEN(C30)</f>
        <v>14</v>
      </c>
    </row>
    <row r="31" spans="1:5">
      <c r="A31" t="s">
        <v>180</v>
      </c>
      <c r="B31" t="s">
        <v>181</v>
      </c>
      <c r="C31" t="s">
        <v>182</v>
      </c>
      <c r="D31">
        <f>LEN(A31)</f>
        <v>21</v>
      </c>
      <c r="E31">
        <f>LEN(C31)</f>
        <v>12</v>
      </c>
    </row>
    <row r="32" spans="1:5">
      <c r="A32" t="s">
        <v>183</v>
      </c>
      <c r="B32" t="s">
        <v>184</v>
      </c>
      <c r="C32" t="s">
        <v>185</v>
      </c>
      <c r="D32">
        <f>LEN(A32)</f>
        <v>18</v>
      </c>
      <c r="E32">
        <f>LEN(C32)</f>
        <v>14</v>
      </c>
    </row>
    <row r="33" spans="1:5">
      <c r="A33" t="s">
        <v>186</v>
      </c>
      <c r="B33" t="s">
        <v>187</v>
      </c>
      <c r="C33" t="str">
        <f>IF(D33&lt;=15,A33,"")</f>
        <v>GUERLAIN</v>
      </c>
      <c r="D33">
        <f>LEN(A33)</f>
        <v>8</v>
      </c>
      <c r="E33">
        <f>LEN(C33)</f>
        <v>8</v>
      </c>
    </row>
    <row r="34" spans="1:5">
      <c r="A34" t="s">
        <v>188</v>
      </c>
      <c r="B34" t="s">
        <v>189</v>
      </c>
      <c r="C34" t="str">
        <f>IF(D34&lt;=15,A34,"")</f>
        <v>HEIPOA</v>
      </c>
      <c r="D34">
        <f>LEN(A34)</f>
        <v>6</v>
      </c>
      <c r="E34">
        <f>LEN(C34)</f>
        <v>6</v>
      </c>
    </row>
    <row r="35" spans="1:5">
      <c r="A35" t="s">
        <v>190</v>
      </c>
      <c r="B35" t="s">
        <v>191</v>
      </c>
      <c r="C35" t="str">
        <f>IF(D35&lt;=15,A35,"")</f>
        <v>KEIJI</v>
      </c>
      <c r="D35">
        <f>LEN(A35)</f>
        <v>5</v>
      </c>
      <c r="E35">
        <f>LEN(C35)</f>
        <v>5</v>
      </c>
    </row>
    <row r="36" spans="1:5">
      <c r="A36" t="s">
        <v>192</v>
      </c>
      <c r="B36" t="s">
        <v>193</v>
      </c>
      <c r="C36" t="str">
        <f>IF(D36&lt;=15,A36,"")</f>
        <v>LAB PERFUMES</v>
      </c>
      <c r="D36">
        <f>LEN(A36)</f>
        <v>12</v>
      </c>
      <c r="E36">
        <f>LEN(C36)</f>
        <v>12</v>
      </c>
    </row>
    <row r="37" spans="1:5">
      <c r="A37" t="s">
        <v>194</v>
      </c>
      <c r="B37" t="s">
        <v>195</v>
      </c>
      <c r="C37" t="s">
        <v>196</v>
      </c>
      <c r="D37">
        <f>LEN(A37)</f>
        <v>25</v>
      </c>
      <c r="E37">
        <f>LEN(C37)</f>
        <v>15</v>
      </c>
    </row>
    <row r="38" spans="1:5">
      <c r="A38" t="s">
        <v>197</v>
      </c>
      <c r="B38" t="s">
        <v>198</v>
      </c>
      <c r="C38" t="s">
        <v>198</v>
      </c>
      <c r="D38">
        <f>LEN(A38)</f>
        <v>15</v>
      </c>
      <c r="E38">
        <f>LEN(C38)</f>
        <v>3</v>
      </c>
    </row>
    <row r="39" spans="1:5">
      <c r="A39" t="s">
        <v>199</v>
      </c>
      <c r="B39" t="s">
        <v>200</v>
      </c>
      <c r="C39" t="s">
        <v>201</v>
      </c>
      <c r="D39">
        <f>LEN(A39)</f>
        <v>10</v>
      </c>
      <c r="E39">
        <f>LEN(C39)</f>
        <v>12</v>
      </c>
    </row>
    <row r="40" spans="1:5">
      <c r="A40" t="s">
        <v>202</v>
      </c>
      <c r="B40" t="s">
        <v>203</v>
      </c>
      <c r="C40" t="s">
        <v>202</v>
      </c>
      <c r="D40">
        <f>LEN(A40)</f>
        <v>12</v>
      </c>
      <c r="E40">
        <f>LEN(C40)</f>
        <v>12</v>
      </c>
    </row>
    <row r="41" spans="1:5">
      <c r="A41" t="s">
        <v>204</v>
      </c>
      <c r="B41" t="s">
        <v>204</v>
      </c>
      <c r="C41" t="str">
        <f>IF(D41&lt;=15,A41,"")</f>
        <v>NKI</v>
      </c>
      <c r="D41">
        <f>LEN(A41)</f>
        <v>3</v>
      </c>
      <c r="E41">
        <f>LEN(C41)</f>
        <v>3</v>
      </c>
    </row>
    <row r="42" spans="1:5">
      <c r="A42" t="s">
        <v>205</v>
      </c>
      <c r="B42" t="s">
        <v>206</v>
      </c>
      <c r="C42" t="str">
        <f>IF(D42&lt;=15,A42,"")</f>
        <v>NUXE PRESTIGE</v>
      </c>
      <c r="D42">
        <f>LEN(A42)</f>
        <v>13</v>
      </c>
      <c r="E42">
        <f>LEN(C42)</f>
        <v>13</v>
      </c>
    </row>
    <row r="43" spans="1:5">
      <c r="A43" t="s">
        <v>207</v>
      </c>
      <c r="B43" t="s">
        <v>208</v>
      </c>
      <c r="C43" t="str">
        <f>IF(D43&lt;=15,A43,"")</f>
        <v>NUXE REVE MIEL</v>
      </c>
      <c r="D43">
        <f>LEN(A43)</f>
        <v>14</v>
      </c>
      <c r="E43">
        <f>LEN(C43)</f>
        <v>14</v>
      </c>
    </row>
    <row r="44" spans="1:5">
      <c r="A44" t="s">
        <v>209</v>
      </c>
      <c r="B44" t="s">
        <v>210</v>
      </c>
      <c r="C44" t="str">
        <f>IF(D44&lt;=15,A44,"")</f>
        <v>OCCEAN</v>
      </c>
      <c r="D44">
        <f>LEN(A44)</f>
        <v>6</v>
      </c>
      <c r="E44">
        <f>LEN(C44)</f>
        <v>6</v>
      </c>
    </row>
    <row r="45" spans="1:5">
      <c r="A45" t="s">
        <v>211</v>
      </c>
      <c r="B45" t="s">
        <v>212</v>
      </c>
      <c r="C45" t="str">
        <f>IF(D45&lt;=15,A45,"")</f>
        <v>OMNISENS</v>
      </c>
      <c r="D45">
        <f>LEN(A45)</f>
        <v>8</v>
      </c>
      <c r="E45">
        <f>LEN(C45)</f>
        <v>8</v>
      </c>
    </row>
    <row r="46" spans="1:5">
      <c r="A46" t="s">
        <v>213</v>
      </c>
      <c r="B46" t="s">
        <v>214</v>
      </c>
      <c r="C46" t="s">
        <v>215</v>
      </c>
      <c r="D46">
        <f>LEN(A46)</f>
        <v>15</v>
      </c>
      <c r="E46">
        <f>LEN(C46)</f>
        <v>10</v>
      </c>
    </row>
    <row r="47" spans="1:5">
      <c r="A47" t="s">
        <v>216</v>
      </c>
      <c r="B47" t="s">
        <v>217</v>
      </c>
      <c r="C47" t="str">
        <f>IF(D47&lt;=15,A47,"")</f>
        <v>PERRICONE</v>
      </c>
      <c r="D47">
        <f>LEN(A47)</f>
        <v>9</v>
      </c>
      <c r="E47">
        <f>LEN(C47)</f>
        <v>9</v>
      </c>
    </row>
    <row r="48" spans="1:5">
      <c r="A48" t="s">
        <v>218</v>
      </c>
      <c r="B48" t="s">
        <v>219</v>
      </c>
      <c r="C48" t="str">
        <f>IF(D48&lt;=15,A48,"")</f>
        <v>PHYTOMER</v>
      </c>
      <c r="D48">
        <f>LEN(A48)</f>
        <v>8</v>
      </c>
      <c r="E48">
        <f>LEN(C48)</f>
        <v>8</v>
      </c>
    </row>
    <row r="49" spans="1:5">
      <c r="A49" t="s">
        <v>220</v>
      </c>
      <c r="B49" t="s">
        <v>221</v>
      </c>
      <c r="C49" t="s">
        <v>222</v>
      </c>
      <c r="D49">
        <f>LEN(A49)</f>
        <v>23</v>
      </c>
      <c r="E49">
        <f>LEN(C49)</f>
        <v>14</v>
      </c>
    </row>
    <row r="50" spans="1:5">
      <c r="A50" t="s">
        <v>223</v>
      </c>
      <c r="B50" t="s">
        <v>224</v>
      </c>
      <c r="C50" t="str">
        <f>IF(D50&lt;=15,A50,"")</f>
        <v>RAIZ</v>
      </c>
      <c r="D50">
        <f>LEN(A50)</f>
        <v>4</v>
      </c>
      <c r="E50">
        <f>LEN(C50)</f>
        <v>4</v>
      </c>
    </row>
    <row r="51" spans="1:5">
      <c r="A51" t="s">
        <v>225</v>
      </c>
      <c r="B51" t="s">
        <v>226</v>
      </c>
      <c r="C51" t="s">
        <v>227</v>
      </c>
      <c r="D51">
        <f>LEN(A51)</f>
        <v>20</v>
      </c>
      <c r="E51">
        <f>LEN(C51)</f>
        <v>11</v>
      </c>
    </row>
    <row r="52" spans="1:5">
      <c r="A52" t="s">
        <v>228</v>
      </c>
      <c r="B52" t="s">
        <v>229</v>
      </c>
      <c r="C52" t="s">
        <v>230</v>
      </c>
      <c r="D52">
        <f>LEN(A52)</f>
        <v>18</v>
      </c>
      <c r="E52">
        <f>LEN(C52)</f>
        <v>11</v>
      </c>
    </row>
    <row r="53" spans="1:5">
      <c r="A53" t="s">
        <v>231</v>
      </c>
      <c r="B53" t="s">
        <v>232</v>
      </c>
      <c r="C53" t="str">
        <f>IF(D53&lt;=15,A53,"")</f>
        <v>SUNDARI</v>
      </c>
      <c r="D53">
        <f>LEN(A53)</f>
        <v>7</v>
      </c>
      <c r="E53">
        <f>LEN(C53)</f>
        <v>7</v>
      </c>
    </row>
    <row r="54" spans="1:5">
      <c r="A54" t="s">
        <v>233</v>
      </c>
      <c r="B54" t="s">
        <v>234</v>
      </c>
      <c r="C54" t="str">
        <f>IF(D54&lt;=15,A54,"")</f>
        <v>THE VERT</v>
      </c>
      <c r="D54">
        <f>LEN(A54)</f>
        <v>8</v>
      </c>
      <c r="E54">
        <f>LEN(C54)</f>
        <v>8</v>
      </c>
    </row>
    <row r="55" spans="1:5">
      <c r="A55" t="s">
        <v>235</v>
      </c>
      <c r="B55" t="s">
        <v>236</v>
      </c>
      <c r="C55" t="str">
        <f>IF(D55&lt;=15,A55,"")</f>
        <v>TRUSSARDI</v>
      </c>
      <c r="D55">
        <f>LEN(A55)</f>
        <v>9</v>
      </c>
      <c r="E55">
        <f>LEN(C55)</f>
        <v>9</v>
      </c>
    </row>
    <row r="56" spans="1:5">
      <c r="A56" t="s">
        <v>237</v>
      </c>
      <c r="B56" t="s">
        <v>238</v>
      </c>
      <c r="C56" t="str">
        <f>IF(D56&lt;=15,A56,"")</f>
        <v>TYPOLOGY</v>
      </c>
      <c r="D56">
        <f>LEN(A56)</f>
        <v>8</v>
      </c>
      <c r="E56">
        <f>LEN(C56)</f>
        <v>8</v>
      </c>
    </row>
    <row r="57" spans="1:5">
      <c r="A57" t="s">
        <v>239</v>
      </c>
      <c r="B57" t="s">
        <v>240</v>
      </c>
      <c r="C57" t="str">
        <f>IF(D57&lt;=15,A57,"")</f>
        <v>VINESIME</v>
      </c>
      <c r="D57">
        <f>LEN(A57)</f>
        <v>8</v>
      </c>
      <c r="E57">
        <f>LEN(C57)</f>
        <v>8</v>
      </c>
    </row>
    <row r="58" spans="1:5">
      <c r="A58" t="s">
        <v>241</v>
      </c>
      <c r="B58" t="s">
        <v>242</v>
      </c>
      <c r="C58" t="str">
        <f>IF(D58&lt;=15,A58,"")</f>
        <v>WHITE TEA</v>
      </c>
      <c r="D58">
        <f>LEN(A58)</f>
        <v>9</v>
      </c>
      <c r="E58">
        <f>LEN(C58)</f>
        <v>9</v>
      </c>
    </row>
  </sheetData>
  <autoFilter ref="A1:E57" xr:uid="{35E6280D-6ECA-4EEC-A092-80E51EA42997}"/>
  <conditionalFormatting sqref="J1:J1048576 D1:E1048576">
    <cfRule type="expression" dxfId="37" priority="11">
      <formula>AND(ISNUMBER(D1),D1&gt;15)</formula>
    </cfRule>
  </conditionalFormatting>
  <conditionalFormatting sqref="K2:K14">
    <cfRule type="expression" dxfId="36" priority="10">
      <formula>AND(ISNUMBER(K2),K2&gt;15)</formula>
    </cfRule>
  </conditionalFormatting>
  <conditionalFormatting sqref="P2:P13">
    <cfRule type="expression" dxfId="35" priority="15">
      <formula>AND(ISNUMBER(P2),P2&gt;15)</formula>
    </cfRule>
  </conditionalFormatting>
  <conditionalFormatting sqref="Q1:Q13">
    <cfRule type="expression" dxfId="34" priority="5">
      <formula>AND(ISNUMBER(Q1),Q1&gt;15)</formula>
    </cfRule>
  </conditionalFormatting>
  <conditionalFormatting sqref="V2:V15">
    <cfRule type="expression" dxfId="33" priority="14">
      <formula>AND(ISNUMBER(V2),V2&gt;15)</formula>
    </cfRule>
  </conditionalFormatting>
  <conditionalFormatting sqref="W1:W15">
    <cfRule type="expression" dxfId="32" priority="4">
      <formula>AND(ISNUMBER(W1),W1&gt;15)</formula>
    </cfRule>
  </conditionalFormatting>
  <conditionalFormatting sqref="AB2:AB7">
    <cfRule type="expression" dxfId="31" priority="13">
      <formula>AND(ISNUMBER(AB2),AB2&gt;15)</formula>
    </cfRule>
  </conditionalFormatting>
  <conditionalFormatting sqref="AC1:AC7">
    <cfRule type="expression" dxfId="30" priority="3">
      <formula>AND(ISNUMBER(AC1),AC1&gt;15)</formula>
    </cfRule>
  </conditionalFormatting>
  <conditionalFormatting sqref="AH2:AH14">
    <cfRule type="expression" dxfId="29" priority="12">
      <formula>AND(ISNUMBER(AH2),AH2&gt;15)</formula>
    </cfRule>
  </conditionalFormatting>
  <conditionalFormatting sqref="AI1:AI14">
    <cfRule type="expression" dxfId="28" priority="2">
      <formula>AND(ISNUMBER(AI1),AI1&gt;15)</formula>
    </cfRule>
  </conditionalFormatting>
  <conditionalFormatting sqref="B2:B58">
    <cfRule type="duplicateValues" dxfId="2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9069-93F9-4240-9F4A-901B9C48149E}">
  <dimension ref="A1:AC15"/>
  <sheetViews>
    <sheetView zoomScale="110" workbookViewId="0">
      <selection activeCell="AA2" sqref="AA2"/>
    </sheetView>
  </sheetViews>
  <sheetFormatPr defaultRowHeight="14.45"/>
  <cols>
    <col min="1" max="1" width="14.42578125" bestFit="1" customWidth="1"/>
    <col min="3" max="3" width="10" bestFit="1" customWidth="1"/>
    <col min="4" max="4" width="14.5703125" bestFit="1" customWidth="1"/>
    <col min="5" max="5" width="14.5703125" customWidth="1"/>
    <col min="7" max="7" width="20.140625" bestFit="1" customWidth="1"/>
    <col min="8" max="8" width="10.28515625" bestFit="1" customWidth="1"/>
    <col min="9" max="9" width="10" bestFit="1" customWidth="1"/>
    <col min="10" max="10" width="14.5703125" bestFit="1" customWidth="1"/>
    <col min="11" max="11" width="14.5703125" customWidth="1"/>
    <col min="13" max="13" width="15.7109375" bestFit="1" customWidth="1"/>
    <col min="14" max="14" width="10.28515625" bestFit="1" customWidth="1"/>
    <col min="15" max="15" width="10" bestFit="1" customWidth="1"/>
    <col min="16" max="16" width="14.5703125" bestFit="1" customWidth="1"/>
    <col min="17" max="17" width="14.5703125" customWidth="1"/>
    <col min="19" max="19" width="14.28515625" bestFit="1" customWidth="1"/>
    <col min="22" max="22" width="14.5703125" bestFit="1" customWidth="1"/>
    <col min="23" max="23" width="13.140625" bestFit="1" customWidth="1"/>
  </cols>
  <sheetData>
    <row r="1" spans="1:29">
      <c r="A1" s="2" t="s">
        <v>0</v>
      </c>
      <c r="B1" t="s">
        <v>1</v>
      </c>
      <c r="C1" t="s">
        <v>3</v>
      </c>
      <c r="D1" s="1" t="s">
        <v>2</v>
      </c>
      <c r="E1" s="1" t="s">
        <v>4</v>
      </c>
      <c r="G1" s="2" t="s">
        <v>6</v>
      </c>
      <c r="H1" t="s">
        <v>1</v>
      </c>
      <c r="I1" t="s">
        <v>3</v>
      </c>
      <c r="J1" s="1" t="s">
        <v>2</v>
      </c>
      <c r="K1" s="1" t="s">
        <v>4</v>
      </c>
      <c r="M1" s="2" t="s">
        <v>7</v>
      </c>
      <c r="N1" t="s">
        <v>1</v>
      </c>
      <c r="O1" t="s">
        <v>3</v>
      </c>
      <c r="P1" s="1" t="s">
        <v>2</v>
      </c>
      <c r="Q1" s="1" t="s">
        <v>4</v>
      </c>
      <c r="S1" s="2" t="s">
        <v>8</v>
      </c>
      <c r="T1" t="s">
        <v>1</v>
      </c>
      <c r="U1" t="s">
        <v>3</v>
      </c>
      <c r="V1" s="1" t="s">
        <v>2</v>
      </c>
      <c r="W1" s="1" t="s">
        <v>4</v>
      </c>
      <c r="Y1" s="2" t="s">
        <v>243</v>
      </c>
      <c r="Z1" t="s">
        <v>1</v>
      </c>
      <c r="AA1" t="s">
        <v>3</v>
      </c>
      <c r="AB1" s="1" t="s">
        <v>2</v>
      </c>
      <c r="AC1" s="1" t="s">
        <v>4</v>
      </c>
    </row>
    <row r="2" spans="1:29">
      <c r="A2" t="s">
        <v>244</v>
      </c>
      <c r="B2" t="s">
        <v>245</v>
      </c>
      <c r="C2">
        <f>LEN(A2)</f>
        <v>15</v>
      </c>
      <c r="D2" t="str">
        <f>IF(C2&lt;=15,A2,"")</f>
        <v>0% Plastic Line</v>
      </c>
      <c r="E2">
        <f>LEN(D2)</f>
        <v>15</v>
      </c>
      <c r="G2" t="s">
        <v>246</v>
      </c>
      <c r="H2" t="s">
        <v>247</v>
      </c>
      <c r="I2">
        <f>LEN(G2)</f>
        <v>9</v>
      </c>
      <c r="J2" t="str">
        <f>IF(I2&lt;=15,G2,"")</f>
        <v>Cotonetes</v>
      </c>
      <c r="K2">
        <f>LEN(J2)</f>
        <v>9</v>
      </c>
      <c r="M2" t="s">
        <v>248</v>
      </c>
      <c r="N2" t="s">
        <v>249</v>
      </c>
      <c r="O2">
        <f>LEN(M2)</f>
        <v>6</v>
      </c>
      <c r="P2" t="str">
        <f>IF(O2&lt;=15,M2,"")</f>
        <v>Escova</v>
      </c>
      <c r="Q2">
        <f>LEN(P2)</f>
        <v>6</v>
      </c>
      <c r="S2" t="s">
        <v>250</v>
      </c>
      <c r="T2" t="s">
        <v>251</v>
      </c>
      <c r="U2">
        <f>LEN(S2)</f>
        <v>5</v>
      </c>
      <c r="V2" t="str">
        <f>IF(U2&lt;=15,S2,"")</f>
        <v>BAMBU</v>
      </c>
      <c r="W2">
        <f>LEN(V2)</f>
        <v>5</v>
      </c>
      <c r="Y2" t="s">
        <v>252</v>
      </c>
      <c r="Z2" t="s">
        <v>48</v>
      </c>
      <c r="AA2">
        <f>LEN(Y2)</f>
        <v>7</v>
      </c>
      <c r="AB2" t="s">
        <v>252</v>
      </c>
      <c r="AC2">
        <f>LEN(AB2)</f>
        <v>7</v>
      </c>
    </row>
    <row r="3" spans="1:29">
      <c r="A3" t="s">
        <v>253</v>
      </c>
      <c r="B3" t="s">
        <v>254</v>
      </c>
      <c r="C3">
        <f t="shared" ref="C3:C8" si="0">LEN(A3)</f>
        <v>8</v>
      </c>
      <c r="D3" t="str">
        <f t="shared" ref="D3:D8" si="1">IF(C3&lt;=15,A3,"")</f>
        <v>ABC Line</v>
      </c>
      <c r="E3">
        <f t="shared" ref="E3:E8" si="2">LEN(D3)</f>
        <v>8</v>
      </c>
      <c r="G3" t="s">
        <v>255</v>
      </c>
      <c r="H3" t="s">
        <v>256</v>
      </c>
      <c r="I3">
        <f t="shared" ref="I3:I15" si="3">LEN(G3)</f>
        <v>21</v>
      </c>
      <c r="J3" t="s">
        <v>257</v>
      </c>
      <c r="K3">
        <f t="shared" ref="K3:K15" si="4">LEN(J3)</f>
        <v>13</v>
      </c>
      <c r="M3" t="s">
        <v>258</v>
      </c>
      <c r="N3" t="s">
        <v>259</v>
      </c>
      <c r="O3">
        <f>LEN(M3)</f>
        <v>6</v>
      </c>
      <c r="P3" t="str">
        <f>IF(O3&lt;=15,M3,"")</f>
        <v>Lâmina</v>
      </c>
      <c r="Q3">
        <f>LEN(P3)</f>
        <v>6</v>
      </c>
      <c r="S3" t="s">
        <v>260</v>
      </c>
      <c r="T3" t="s">
        <v>261</v>
      </c>
      <c r="U3">
        <f t="shared" ref="U3:U4" si="5">LEN(S3)</f>
        <v>5</v>
      </c>
      <c r="V3" t="str">
        <f t="shared" ref="V3:V4" si="6">IF(U3&lt;=15,S3,"")</f>
        <v>STRAW</v>
      </c>
      <c r="W3">
        <f t="shared" ref="W3:W4" si="7">LEN(V3)</f>
        <v>5</v>
      </c>
      <c r="Y3" t="s">
        <v>262</v>
      </c>
      <c r="Z3" t="s">
        <v>263</v>
      </c>
      <c r="AA3">
        <f>LEN(Y3)</f>
        <v>6</v>
      </c>
      <c r="AB3" t="s">
        <v>262</v>
      </c>
      <c r="AC3">
        <f>LEN(AB3)</f>
        <v>6</v>
      </c>
    </row>
    <row r="4" spans="1:29">
      <c r="A4" t="s">
        <v>264</v>
      </c>
      <c r="B4" t="s">
        <v>265</v>
      </c>
      <c r="C4">
        <f t="shared" si="0"/>
        <v>15</v>
      </c>
      <c r="D4" t="str">
        <f t="shared" si="1"/>
        <v>Cornstarch Line</v>
      </c>
      <c r="E4">
        <f t="shared" si="2"/>
        <v>15</v>
      </c>
      <c r="G4" t="s">
        <v>266</v>
      </c>
      <c r="H4" t="s">
        <v>267</v>
      </c>
      <c r="I4">
        <f t="shared" si="3"/>
        <v>11</v>
      </c>
      <c r="J4" t="str">
        <f t="shared" ref="J4:J15" si="8">IF(I4&lt;=15,G4,"")</f>
        <v>Kit Barbear</v>
      </c>
      <c r="K4">
        <f t="shared" si="4"/>
        <v>11</v>
      </c>
      <c r="S4" t="s">
        <v>268</v>
      </c>
      <c r="T4" t="s">
        <v>269</v>
      </c>
      <c r="U4">
        <f t="shared" si="5"/>
        <v>8</v>
      </c>
      <c r="V4" t="str">
        <f t="shared" si="6"/>
        <v>PLÁSTICO</v>
      </c>
      <c r="W4">
        <f t="shared" si="7"/>
        <v>8</v>
      </c>
    </row>
    <row r="5" spans="1:29">
      <c r="A5" t="s">
        <v>270</v>
      </c>
      <c r="B5" t="s">
        <v>271</v>
      </c>
      <c r="C5">
        <f t="shared" si="0"/>
        <v>14</v>
      </c>
      <c r="D5" t="str">
        <f t="shared" si="1"/>
        <v>Exclusive Line</v>
      </c>
      <c r="E5">
        <f t="shared" si="2"/>
        <v>14</v>
      </c>
      <c r="G5" t="s">
        <v>272</v>
      </c>
      <c r="H5" t="s">
        <v>273</v>
      </c>
      <c r="I5">
        <f t="shared" si="3"/>
        <v>10</v>
      </c>
      <c r="J5" t="str">
        <f t="shared" si="8"/>
        <v>Kit Dental</v>
      </c>
      <c r="K5">
        <f t="shared" si="4"/>
        <v>10</v>
      </c>
    </row>
    <row r="6" spans="1:29">
      <c r="A6" t="s">
        <v>274</v>
      </c>
      <c r="B6" t="s">
        <v>275</v>
      </c>
      <c r="C6">
        <f t="shared" si="0"/>
        <v>11</v>
      </c>
      <c r="D6" t="str">
        <f t="shared" si="1"/>
        <v>Nature Line</v>
      </c>
      <c r="E6">
        <f t="shared" si="2"/>
        <v>11</v>
      </c>
      <c r="G6" t="s">
        <v>276</v>
      </c>
      <c r="H6" t="s">
        <v>277</v>
      </c>
      <c r="I6">
        <f t="shared" si="3"/>
        <v>11</v>
      </c>
      <c r="J6" t="str">
        <f t="shared" si="8"/>
        <v>Kit Vaidade</v>
      </c>
      <c r="K6">
        <f t="shared" si="4"/>
        <v>11</v>
      </c>
    </row>
    <row r="7" spans="1:29">
      <c r="A7" t="s">
        <v>278</v>
      </c>
      <c r="B7" t="s">
        <v>279</v>
      </c>
      <c r="C7">
        <f t="shared" si="0"/>
        <v>10</v>
      </c>
      <c r="D7" t="str">
        <f t="shared" si="1"/>
        <v>Rusty Line</v>
      </c>
      <c r="E7">
        <f t="shared" si="2"/>
        <v>10</v>
      </c>
      <c r="G7" t="s">
        <v>280</v>
      </c>
      <c r="H7" t="s">
        <v>281</v>
      </c>
      <c r="I7">
        <f t="shared" si="3"/>
        <v>6</v>
      </c>
      <c r="J7" t="str">
        <f t="shared" si="8"/>
        <v>Loofah</v>
      </c>
      <c r="K7">
        <f t="shared" si="4"/>
        <v>6</v>
      </c>
    </row>
    <row r="8" spans="1:29">
      <c r="A8" t="s">
        <v>197</v>
      </c>
      <c r="B8" t="s">
        <v>198</v>
      </c>
      <c r="C8">
        <f t="shared" si="0"/>
        <v>15</v>
      </c>
      <c r="D8" t="str">
        <f t="shared" si="1"/>
        <v>LE PETIT PRINCE</v>
      </c>
      <c r="E8">
        <f t="shared" si="2"/>
        <v>15</v>
      </c>
      <c r="G8" t="s">
        <v>282</v>
      </c>
      <c r="H8" t="s">
        <v>283</v>
      </c>
      <c r="I8">
        <f t="shared" si="3"/>
        <v>18</v>
      </c>
      <c r="J8" t="s">
        <v>284</v>
      </c>
      <c r="K8">
        <f t="shared" si="4"/>
        <v>15</v>
      </c>
    </row>
    <row r="9" spans="1:29">
      <c r="G9" t="s">
        <v>285</v>
      </c>
      <c r="H9" t="s">
        <v>286</v>
      </c>
      <c r="I9">
        <f t="shared" si="3"/>
        <v>5</v>
      </c>
      <c r="J9" t="str">
        <f t="shared" si="8"/>
        <v>Pente</v>
      </c>
      <c r="K9">
        <f t="shared" si="4"/>
        <v>5</v>
      </c>
    </row>
    <row r="10" spans="1:29">
      <c r="G10" t="s">
        <v>287</v>
      </c>
      <c r="H10" t="s">
        <v>288</v>
      </c>
      <c r="I10">
        <f t="shared" si="3"/>
        <v>5</v>
      </c>
      <c r="J10" t="str">
        <f t="shared" si="8"/>
        <v>Touca</v>
      </c>
      <c r="K10">
        <f t="shared" si="4"/>
        <v>5</v>
      </c>
    </row>
    <row r="11" spans="1:29">
      <c r="G11" t="s">
        <v>289</v>
      </c>
      <c r="H11" t="s">
        <v>290</v>
      </c>
      <c r="I11">
        <f t="shared" si="3"/>
        <v>8</v>
      </c>
      <c r="J11" t="str">
        <f t="shared" si="8"/>
        <v>Chinelos</v>
      </c>
      <c r="K11">
        <f t="shared" si="4"/>
        <v>8</v>
      </c>
    </row>
    <row r="12" spans="1:29">
      <c r="G12" t="s">
        <v>291</v>
      </c>
      <c r="H12" t="s">
        <v>273</v>
      </c>
      <c r="I12">
        <f t="shared" si="3"/>
        <v>16</v>
      </c>
      <c r="J12" t="s">
        <v>292</v>
      </c>
      <c r="K12">
        <f t="shared" si="4"/>
        <v>13</v>
      </c>
    </row>
    <row r="13" spans="1:29">
      <c r="G13" t="s">
        <v>293</v>
      </c>
      <c r="H13" t="s">
        <v>294</v>
      </c>
      <c r="I13">
        <f t="shared" si="3"/>
        <v>7</v>
      </c>
      <c r="J13" t="str">
        <f t="shared" si="8"/>
        <v>Peluche</v>
      </c>
      <c r="K13">
        <f t="shared" si="4"/>
        <v>7</v>
      </c>
    </row>
    <row r="14" spans="1:29">
      <c r="G14" t="s">
        <v>295</v>
      </c>
      <c r="H14" t="s">
        <v>296</v>
      </c>
      <c r="I14">
        <f t="shared" si="3"/>
        <v>6</v>
      </c>
      <c r="J14" t="str">
        <f t="shared" si="8"/>
        <v>Estojo</v>
      </c>
      <c r="K14">
        <f t="shared" si="4"/>
        <v>6</v>
      </c>
    </row>
    <row r="15" spans="1:29">
      <c r="G15" t="s">
        <v>297</v>
      </c>
      <c r="H15" t="s">
        <v>298</v>
      </c>
      <c r="I15">
        <f t="shared" si="3"/>
        <v>5</v>
      </c>
      <c r="J15" t="str">
        <f t="shared" si="8"/>
        <v>Livro</v>
      </c>
      <c r="K15">
        <f t="shared" si="4"/>
        <v>5</v>
      </c>
    </row>
  </sheetData>
  <conditionalFormatting sqref="C1:C8">
    <cfRule type="expression" dxfId="26" priority="11">
      <formula>AND(ISNUMBER(C1),C1&gt;15)</formula>
    </cfRule>
  </conditionalFormatting>
  <conditionalFormatting sqref="E2:E8">
    <cfRule type="expression" dxfId="25" priority="5">
      <formula>AND(ISNUMBER(E2),E2&gt;15)</formula>
    </cfRule>
  </conditionalFormatting>
  <conditionalFormatting sqref="I2:I15">
    <cfRule type="expression" dxfId="24" priority="10">
      <formula>AND(ISNUMBER(I2),I2&gt;15)</formula>
    </cfRule>
  </conditionalFormatting>
  <conditionalFormatting sqref="K2:K15">
    <cfRule type="expression" dxfId="23" priority="6">
      <formula>AND(ISNUMBER(K2),K2&gt;15)</formula>
    </cfRule>
  </conditionalFormatting>
  <conditionalFormatting sqref="O2:O3">
    <cfRule type="expression" dxfId="22" priority="9">
      <formula>AND(ISNUMBER(O2),O2&gt;15)</formula>
    </cfRule>
  </conditionalFormatting>
  <conditionalFormatting sqref="Q2:Q3">
    <cfRule type="expression" dxfId="21" priority="4">
      <formula>AND(ISNUMBER(Q2),Q2&gt;15)</formula>
    </cfRule>
  </conditionalFormatting>
  <conditionalFormatting sqref="U2:U4">
    <cfRule type="expression" dxfId="20" priority="8">
      <formula>AND(ISNUMBER(U2),U2&gt;15)</formula>
    </cfRule>
  </conditionalFormatting>
  <conditionalFormatting sqref="W2:W4">
    <cfRule type="expression" dxfId="19" priority="3">
      <formula>AND(ISNUMBER(W2),W2&gt;15)</formula>
    </cfRule>
  </conditionalFormatting>
  <conditionalFormatting sqref="AA2:AA3">
    <cfRule type="expression" dxfId="18" priority="2">
      <formula>AND(ISNUMBER(AA2),AA2&gt;15)</formula>
    </cfRule>
  </conditionalFormatting>
  <conditionalFormatting sqref="AC2:AC3">
    <cfRule type="expression" dxfId="17" priority="1">
      <formula>AND(ISNUMBER(AC2),AC2&gt;15)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5BE0-03C2-46A7-B306-988707152B94}">
  <dimension ref="A1:AC9"/>
  <sheetViews>
    <sheetView topLeftCell="M1" workbookViewId="0">
      <selection activeCell="AA14" sqref="AA14"/>
    </sheetView>
  </sheetViews>
  <sheetFormatPr defaultRowHeight="14.45"/>
  <cols>
    <col min="1" max="1" width="11.140625" bestFit="1" customWidth="1"/>
    <col min="2" max="2" width="10.28515625" bestFit="1" customWidth="1"/>
    <col min="3" max="3" width="10" bestFit="1" customWidth="1"/>
    <col min="4" max="4" width="14.5703125" bestFit="1" customWidth="1"/>
    <col min="5" max="5" width="14.5703125" customWidth="1"/>
    <col min="7" max="7" width="14.42578125" bestFit="1" customWidth="1"/>
    <col min="8" max="8" width="10.28515625" bestFit="1" customWidth="1"/>
    <col min="9" max="9" width="10" bestFit="1" customWidth="1"/>
    <col min="10" max="10" width="14.5703125" bestFit="1" customWidth="1"/>
    <col min="11" max="11" width="14.5703125" customWidth="1"/>
    <col min="13" max="13" width="15.7109375" bestFit="1" customWidth="1"/>
    <col min="14" max="14" width="10.28515625" bestFit="1" customWidth="1"/>
    <col min="15" max="15" width="10" bestFit="1" customWidth="1"/>
    <col min="16" max="16" width="14.5703125" bestFit="1" customWidth="1"/>
    <col min="17" max="17" width="14.5703125" customWidth="1"/>
    <col min="19" max="19" width="14.28515625" bestFit="1" customWidth="1"/>
    <col min="20" max="20" width="10.28515625" bestFit="1" customWidth="1"/>
    <col min="21" max="21" width="10" bestFit="1" customWidth="1"/>
    <col min="22" max="22" width="14.5703125" bestFit="1" customWidth="1"/>
    <col min="23" max="23" width="14.5703125" customWidth="1"/>
    <col min="25" max="25" width="16" bestFit="1" customWidth="1"/>
    <col min="26" max="26" width="10.28515625" bestFit="1" customWidth="1"/>
    <col min="27" max="27" width="10" bestFit="1" customWidth="1"/>
    <col min="28" max="28" width="14.5703125" bestFit="1" customWidth="1"/>
    <col min="29" max="29" width="14.5703125" customWidth="1"/>
  </cols>
  <sheetData>
    <row r="1" spans="1:29">
      <c r="A1" t="s">
        <v>0</v>
      </c>
      <c r="B1" t="s">
        <v>1</v>
      </c>
      <c r="C1" t="s">
        <v>3</v>
      </c>
      <c r="D1" s="1" t="s">
        <v>2</v>
      </c>
      <c r="E1" s="1" t="s">
        <v>4</v>
      </c>
      <c r="G1" t="s">
        <v>6</v>
      </c>
      <c r="H1" t="s">
        <v>1</v>
      </c>
      <c r="I1" t="s">
        <v>3</v>
      </c>
      <c r="J1" s="1" t="s">
        <v>2</v>
      </c>
      <c r="K1" s="1" t="s">
        <v>4</v>
      </c>
      <c r="M1" t="s">
        <v>7</v>
      </c>
      <c r="N1" t="s">
        <v>1</v>
      </c>
      <c r="O1" t="s">
        <v>3</v>
      </c>
      <c r="P1" s="1" t="s">
        <v>2</v>
      </c>
      <c r="Q1" s="1" t="s">
        <v>4</v>
      </c>
      <c r="S1" t="s">
        <v>8</v>
      </c>
      <c r="T1" t="s">
        <v>1</v>
      </c>
      <c r="U1" t="s">
        <v>3</v>
      </c>
      <c r="V1" s="1" t="s">
        <v>2</v>
      </c>
      <c r="W1" s="1" t="s">
        <v>4</v>
      </c>
      <c r="Y1" t="s">
        <v>9</v>
      </c>
      <c r="Z1" t="s">
        <v>1</v>
      </c>
      <c r="AA1" t="s">
        <v>3</v>
      </c>
      <c r="AB1" s="1" t="s">
        <v>2</v>
      </c>
      <c r="AC1" s="1" t="s">
        <v>4</v>
      </c>
    </row>
    <row r="2" spans="1:29">
      <c r="A2" t="s">
        <v>299</v>
      </c>
      <c r="B2" t="s">
        <v>300</v>
      </c>
      <c r="C2">
        <f>LEN(A2)</f>
        <v>7</v>
      </c>
      <c r="D2" t="s">
        <v>299</v>
      </c>
      <c r="E2">
        <f>LEN(D2)</f>
        <v>7</v>
      </c>
      <c r="G2" t="s">
        <v>301</v>
      </c>
      <c r="H2" t="s">
        <v>302</v>
      </c>
      <c r="I2">
        <f>LEN(G2)</f>
        <v>5</v>
      </c>
      <c r="J2" t="str">
        <f>IF(I2&lt;=15,G2,"")</f>
        <v>Duplo</v>
      </c>
      <c r="K2">
        <f>LEN(J2)</f>
        <v>5</v>
      </c>
      <c r="M2" t="s">
        <v>303</v>
      </c>
      <c r="N2" t="s">
        <v>303</v>
      </c>
      <c r="O2">
        <f>LEN(M2)</f>
        <v>3</v>
      </c>
      <c r="P2" t="str">
        <f>IF(O2&lt;=15,M2,"")</f>
        <v>ABS</v>
      </c>
      <c r="Q2">
        <f>LEN(P2)</f>
        <v>3</v>
      </c>
      <c r="S2" t="s">
        <v>304</v>
      </c>
      <c r="T2" t="s">
        <v>305</v>
      </c>
      <c r="U2">
        <f>LEN(S2)</f>
        <v>6</v>
      </c>
      <c r="V2" t="str">
        <f>IF(U2&lt;=15,S2,"")</f>
        <v>BRANCO</v>
      </c>
      <c r="W2">
        <f>LEN(V2)</f>
        <v>6</v>
      </c>
      <c r="Y2" t="s">
        <v>306</v>
      </c>
      <c r="Z2" t="s">
        <v>33</v>
      </c>
      <c r="AA2">
        <f>LEN(Y2)</f>
        <v>18</v>
      </c>
      <c r="AB2" t="s">
        <v>307</v>
      </c>
      <c r="AC2">
        <f>LEN(AB2)</f>
        <v>15</v>
      </c>
    </row>
    <row r="3" spans="1:29">
      <c r="G3" t="s">
        <v>308</v>
      </c>
      <c r="H3" t="s">
        <v>302</v>
      </c>
      <c r="I3">
        <f t="shared" ref="I3:I6" si="0">LEN(G3)</f>
        <v>15</v>
      </c>
      <c r="J3" t="str">
        <f t="shared" ref="J3:J6" si="1">IF(I3&lt;=15,G3,"")</f>
        <v>Duplo Magnético</v>
      </c>
      <c r="K3">
        <f t="shared" ref="K3:K6" si="2">LEN(J3)</f>
        <v>15</v>
      </c>
      <c r="M3" t="s">
        <v>309</v>
      </c>
      <c r="N3" t="s">
        <v>310</v>
      </c>
      <c r="O3">
        <f t="shared" ref="O3:O4" si="3">LEN(M3)</f>
        <v>3</v>
      </c>
      <c r="P3" t="str">
        <f t="shared" ref="P3:P4" si="4">IF(O3&lt;=15,M3,"")</f>
        <v>AÇO</v>
      </c>
      <c r="Q3">
        <f t="shared" ref="Q3:Q4" si="5">LEN(P3)</f>
        <v>3</v>
      </c>
      <c r="S3" t="s">
        <v>311</v>
      </c>
      <c r="T3" t="s">
        <v>312</v>
      </c>
      <c r="U3">
        <f t="shared" ref="U3:U5" si="6">LEN(S3)</f>
        <v>5</v>
      </c>
      <c r="V3" t="str">
        <f t="shared" ref="V3:V5" si="7">IF(U3&lt;=15,S3,"")</f>
        <v>PRETO</v>
      </c>
      <c r="W3">
        <f t="shared" ref="W3:W5" si="8">LEN(V3)</f>
        <v>5</v>
      </c>
      <c r="Y3" t="s">
        <v>313</v>
      </c>
      <c r="Z3" t="s">
        <v>64</v>
      </c>
      <c r="AA3">
        <f t="shared" ref="AA3:AA6" si="9">LEN(Y3)</f>
        <v>15</v>
      </c>
      <c r="AB3" t="str">
        <f t="shared" ref="AB3:AB6" si="10">IF(AA3&lt;=15,Y3,"")</f>
        <v>Branco Alu Slim</v>
      </c>
      <c r="AC3">
        <f t="shared" ref="AC3:AC9" si="11">LEN(AB3)</f>
        <v>15</v>
      </c>
    </row>
    <row r="4" spans="1:29">
      <c r="G4" t="s">
        <v>314</v>
      </c>
      <c r="H4" t="s">
        <v>315</v>
      </c>
      <c r="I4">
        <f t="shared" si="0"/>
        <v>14</v>
      </c>
      <c r="J4" t="str">
        <f t="shared" si="1"/>
        <v>Ind. Magnético</v>
      </c>
      <c r="K4">
        <f t="shared" si="2"/>
        <v>14</v>
      </c>
      <c r="M4" t="s">
        <v>316</v>
      </c>
      <c r="N4" t="s">
        <v>317</v>
      </c>
      <c r="O4">
        <f t="shared" si="3"/>
        <v>4</v>
      </c>
      <c r="P4" t="str">
        <f t="shared" si="4"/>
        <v>INOX</v>
      </c>
      <c r="Q4">
        <f t="shared" si="5"/>
        <v>4</v>
      </c>
      <c r="S4" t="s">
        <v>318</v>
      </c>
      <c r="T4" t="s">
        <v>319</v>
      </c>
      <c r="U4">
        <f t="shared" si="6"/>
        <v>7</v>
      </c>
      <c r="V4" t="str">
        <f t="shared" si="7"/>
        <v>DOURADO</v>
      </c>
      <c r="W4">
        <f t="shared" si="8"/>
        <v>7</v>
      </c>
      <c r="Y4" t="s">
        <v>320</v>
      </c>
      <c r="Z4" t="s">
        <v>33</v>
      </c>
      <c r="AA4">
        <f t="shared" si="9"/>
        <v>17</v>
      </c>
      <c r="AB4" t="s">
        <v>321</v>
      </c>
      <c r="AC4">
        <f t="shared" si="11"/>
        <v>14</v>
      </c>
    </row>
    <row r="5" spans="1:29">
      <c r="G5" t="s">
        <v>322</v>
      </c>
      <c r="H5" t="s">
        <v>315</v>
      </c>
      <c r="I5">
        <f t="shared" si="0"/>
        <v>10</v>
      </c>
      <c r="J5" t="str">
        <f t="shared" si="1"/>
        <v>Individual</v>
      </c>
      <c r="K5">
        <f t="shared" si="2"/>
        <v>10</v>
      </c>
      <c r="S5" t="s">
        <v>323</v>
      </c>
      <c r="T5" t="s">
        <v>249</v>
      </c>
      <c r="U5">
        <f t="shared" si="6"/>
        <v>8</v>
      </c>
      <c r="V5" t="str">
        <f t="shared" si="7"/>
        <v>ESCOVADO</v>
      </c>
      <c r="W5">
        <f t="shared" si="8"/>
        <v>8</v>
      </c>
      <c r="Y5" t="s">
        <v>324</v>
      </c>
      <c r="Z5" t="s">
        <v>64</v>
      </c>
      <c r="AA5">
        <f t="shared" si="9"/>
        <v>14</v>
      </c>
      <c r="AB5" t="str">
        <f t="shared" si="10"/>
        <v>Preto Alu Slim</v>
      </c>
      <c r="AC5">
        <f t="shared" si="11"/>
        <v>14</v>
      </c>
    </row>
    <row r="6" spans="1:29">
      <c r="G6" t="s">
        <v>325</v>
      </c>
      <c r="H6" t="s">
        <v>326</v>
      </c>
      <c r="I6">
        <f t="shared" si="0"/>
        <v>6</v>
      </c>
      <c r="J6" t="str">
        <f t="shared" si="1"/>
        <v>Triplo</v>
      </c>
      <c r="K6">
        <f t="shared" si="2"/>
        <v>6</v>
      </c>
      <c r="Y6" t="s">
        <v>186</v>
      </c>
      <c r="Z6" t="s">
        <v>187</v>
      </c>
      <c r="AA6">
        <f t="shared" si="9"/>
        <v>8</v>
      </c>
      <c r="AB6" t="str">
        <f t="shared" si="10"/>
        <v>GUERLAIN</v>
      </c>
      <c r="AC6">
        <f t="shared" si="11"/>
        <v>8</v>
      </c>
    </row>
    <row r="7" spans="1:29">
      <c r="Y7" t="s">
        <v>327</v>
      </c>
      <c r="Z7" t="s">
        <v>328</v>
      </c>
      <c r="AA7">
        <f t="shared" ref="AA7:AA9" si="12">LEN(Y7)</f>
        <v>8</v>
      </c>
      <c r="AB7" t="str">
        <f t="shared" ref="AB7:AB9" si="13">IF(AA7&lt;=15,Y7,"")</f>
        <v>QUADRADO</v>
      </c>
      <c r="AC7">
        <f t="shared" si="11"/>
        <v>8</v>
      </c>
    </row>
    <row r="8" spans="1:29">
      <c r="Y8" t="s">
        <v>329</v>
      </c>
      <c r="Z8" t="s">
        <v>330</v>
      </c>
      <c r="AA8">
        <f t="shared" si="12"/>
        <v>12</v>
      </c>
      <c r="AB8" t="str">
        <f t="shared" si="13"/>
        <v>TAMPER PROOF</v>
      </c>
      <c r="AC8">
        <f t="shared" si="11"/>
        <v>12</v>
      </c>
    </row>
    <row r="9" spans="1:29">
      <c r="Y9" t="s">
        <v>331</v>
      </c>
      <c r="Z9" t="s">
        <v>331</v>
      </c>
      <c r="AA9">
        <f t="shared" si="12"/>
        <v>3</v>
      </c>
      <c r="AB9" t="str">
        <f t="shared" si="13"/>
        <v>ALL</v>
      </c>
      <c r="AC9">
        <f t="shared" si="11"/>
        <v>3</v>
      </c>
    </row>
  </sheetData>
  <conditionalFormatting sqref="C1:C2">
    <cfRule type="expression" dxfId="16" priority="6">
      <formula>AND(ISNUMBER(C1),C1&gt;15)</formula>
    </cfRule>
  </conditionalFormatting>
  <conditionalFormatting sqref="E2">
    <cfRule type="expression" dxfId="15" priority="1">
      <formula>AND(ISNUMBER(E2),E2&gt;15)</formula>
    </cfRule>
  </conditionalFormatting>
  <conditionalFormatting sqref="I2:I6">
    <cfRule type="expression" dxfId="14" priority="9">
      <formula>AND(ISNUMBER(I2),I2&gt;15)</formula>
    </cfRule>
  </conditionalFormatting>
  <conditionalFormatting sqref="K2:K6">
    <cfRule type="expression" dxfId="13" priority="2">
      <formula>AND(ISNUMBER(K2),K2&gt;15)</formula>
    </cfRule>
  </conditionalFormatting>
  <conditionalFormatting sqref="O2:O6">
    <cfRule type="expression" dxfId="12" priority="8">
      <formula>AND(ISNUMBER(O2),O2&gt;15)</formula>
    </cfRule>
  </conditionalFormatting>
  <conditionalFormatting sqref="Q2:Q4">
    <cfRule type="expression" dxfId="11" priority="5">
      <formula>AND(ISNUMBER(Q2),Q2&gt;15)</formula>
    </cfRule>
  </conditionalFormatting>
  <conditionalFormatting sqref="U2:U5">
    <cfRule type="expression" dxfId="10" priority="7">
      <formula>AND(ISNUMBER(U2),U2&gt;15)</formula>
    </cfRule>
  </conditionalFormatting>
  <conditionalFormatting sqref="W2:W5">
    <cfRule type="expression" dxfId="9" priority="4">
      <formula>AND(ISNUMBER(W2),W2&gt;15)</formula>
    </cfRule>
  </conditionalFormatting>
  <conditionalFormatting sqref="AA2:AA10">
    <cfRule type="expression" dxfId="8" priority="12">
      <formula>AND(ISNUMBER(AA2),AA2&gt;15)</formula>
    </cfRule>
  </conditionalFormatting>
  <conditionalFormatting sqref="AC2:AC9">
    <cfRule type="expression" dxfId="7" priority="3">
      <formula>AND(ISNUMBER(AC2),AC2&gt;15)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82EC-A90B-4D84-AB16-A0C339E231FA}">
  <dimension ref="A1:X7"/>
  <sheetViews>
    <sheetView workbookViewId="0">
      <selection activeCell="H14" sqref="H14"/>
    </sheetView>
  </sheetViews>
  <sheetFormatPr defaultRowHeight="14.45"/>
  <cols>
    <col min="1" max="1" width="11.140625" bestFit="1" customWidth="1"/>
    <col min="2" max="2" width="10.28515625" bestFit="1" customWidth="1"/>
    <col min="3" max="3" width="10" bestFit="1" customWidth="1"/>
    <col min="4" max="4" width="14.5703125" bestFit="1" customWidth="1"/>
    <col min="6" max="6" width="8.5703125" bestFit="1" customWidth="1"/>
    <col min="7" max="7" width="10.28515625" bestFit="1" customWidth="1"/>
    <col min="8" max="8" width="10" bestFit="1" customWidth="1"/>
    <col min="9" max="9" width="14.5703125" bestFit="1" customWidth="1"/>
    <col min="11" max="11" width="14" bestFit="1" customWidth="1"/>
    <col min="12" max="12" width="10.28515625" bestFit="1" customWidth="1"/>
    <col min="13" max="13" width="10" bestFit="1" customWidth="1"/>
    <col min="14" max="14" width="14.5703125" bestFit="1" customWidth="1"/>
    <col min="16" max="16" width="15.7109375" bestFit="1" customWidth="1"/>
    <col min="17" max="17" width="10.28515625" bestFit="1" customWidth="1"/>
    <col min="18" max="18" width="10" bestFit="1" customWidth="1"/>
    <col min="19" max="19" width="14.5703125" bestFit="1" customWidth="1"/>
    <col min="21" max="21" width="6.42578125" bestFit="1" customWidth="1"/>
    <col min="22" max="22" width="10.28515625" bestFit="1" customWidth="1"/>
    <col min="23" max="23" width="10" bestFit="1" customWidth="1"/>
    <col min="24" max="24" width="14.5703125" bestFit="1" customWidth="1"/>
  </cols>
  <sheetData>
    <row r="1" spans="1:24">
      <c r="A1" t="s">
        <v>0</v>
      </c>
      <c r="B1" t="s">
        <v>1</v>
      </c>
      <c r="C1" t="s">
        <v>3</v>
      </c>
      <c r="D1" s="1" t="s">
        <v>2</v>
      </c>
      <c r="F1" t="s">
        <v>5</v>
      </c>
      <c r="G1" t="s">
        <v>1</v>
      </c>
      <c r="H1" t="s">
        <v>3</v>
      </c>
      <c r="I1" s="1" t="s">
        <v>2</v>
      </c>
      <c r="K1" t="s">
        <v>6</v>
      </c>
      <c r="L1" t="s">
        <v>1</v>
      </c>
      <c r="M1" t="s">
        <v>3</v>
      </c>
      <c r="N1" s="1" t="s">
        <v>2</v>
      </c>
      <c r="P1" t="s">
        <v>7</v>
      </c>
      <c r="Q1" t="s">
        <v>1</v>
      </c>
      <c r="R1" t="s">
        <v>3</v>
      </c>
      <c r="S1" s="1" t="s">
        <v>2</v>
      </c>
      <c r="U1" t="s">
        <v>9</v>
      </c>
      <c r="V1" t="s">
        <v>1</v>
      </c>
      <c r="W1" t="s">
        <v>3</v>
      </c>
      <c r="X1" s="1" t="s">
        <v>2</v>
      </c>
    </row>
    <row r="2" spans="1:24">
      <c r="A2" t="s">
        <v>289</v>
      </c>
      <c r="B2" t="s">
        <v>290</v>
      </c>
      <c r="C2">
        <f>LEN(A2)</f>
        <v>8</v>
      </c>
      <c r="D2" t="str">
        <f>IF(C2&lt;=15,A2,"")</f>
        <v>Chinelos</v>
      </c>
      <c r="F2" t="s">
        <v>332</v>
      </c>
      <c r="G2" t="s">
        <v>333</v>
      </c>
      <c r="H2">
        <f>LEN(F2)</f>
        <v>7</v>
      </c>
      <c r="I2" t="str">
        <f>IF(H2&lt;=15,F2,"")</f>
        <v>Fechado</v>
      </c>
      <c r="K2" t="s">
        <v>334</v>
      </c>
      <c r="L2" t="s">
        <v>335</v>
      </c>
      <c r="M2">
        <f>LEN(K2)</f>
        <v>8</v>
      </c>
      <c r="N2" t="str">
        <f>IF(M2&lt;=15,K2,"")</f>
        <v>SOLA EVA</v>
      </c>
      <c r="P2" t="s">
        <v>336</v>
      </c>
      <c r="Q2">
        <v>28</v>
      </c>
      <c r="R2">
        <f>LEN(P2)</f>
        <v>4</v>
      </c>
      <c r="S2" t="str">
        <f>IF(R2&lt;=15,P2,"")</f>
        <v>28CM</v>
      </c>
      <c r="U2" t="s">
        <v>337</v>
      </c>
      <c r="V2" t="s">
        <v>337</v>
      </c>
      <c r="W2">
        <f>LEN(U2)</f>
        <v>4</v>
      </c>
      <c r="X2" t="str">
        <f>IF(W2&lt;=15,U2,"")</f>
        <v>C019</v>
      </c>
    </row>
    <row r="3" spans="1:24">
      <c r="F3" t="s">
        <v>338</v>
      </c>
      <c r="G3" t="s">
        <v>339</v>
      </c>
      <c r="H3">
        <f t="shared" ref="H3:H4" si="0">LEN(F3)</f>
        <v>6</v>
      </c>
      <c r="I3" t="str">
        <f t="shared" ref="I3:I4" si="1">IF(H3&lt;=15,F3,"")</f>
        <v>Aberto</v>
      </c>
      <c r="K3" t="s">
        <v>340</v>
      </c>
      <c r="L3" t="s">
        <v>341</v>
      </c>
      <c r="M3">
        <f>LEN(K3)</f>
        <v>10</v>
      </c>
      <c r="N3" t="str">
        <f>IF(M3&lt;=15,K3,"")</f>
        <v>PolyVelour</v>
      </c>
      <c r="P3" t="s">
        <v>342</v>
      </c>
      <c r="Q3">
        <v>29</v>
      </c>
      <c r="R3">
        <f t="shared" ref="R3:R5" si="2">LEN(P3)</f>
        <v>4</v>
      </c>
      <c r="S3" t="str">
        <f t="shared" ref="S3:S5" si="3">IF(R3&lt;=15,P3,"")</f>
        <v>29CM</v>
      </c>
      <c r="U3" t="s">
        <v>343</v>
      </c>
      <c r="V3" t="s">
        <v>343</v>
      </c>
      <c r="W3">
        <f t="shared" ref="W3:W7" si="4">LEN(U3)</f>
        <v>4</v>
      </c>
      <c r="X3" t="str">
        <f t="shared" ref="X3:X7" si="5">IF(W3&lt;=15,U3,"")</f>
        <v>C024</v>
      </c>
    </row>
    <row r="4" spans="1:24">
      <c r="F4" t="s">
        <v>344</v>
      </c>
      <c r="G4" t="s">
        <v>345</v>
      </c>
      <c r="H4">
        <f t="shared" si="0"/>
        <v>8</v>
      </c>
      <c r="I4" t="str">
        <f t="shared" si="1"/>
        <v>Havaiana</v>
      </c>
      <c r="P4" t="s">
        <v>346</v>
      </c>
      <c r="Q4">
        <v>30</v>
      </c>
      <c r="R4">
        <f t="shared" si="2"/>
        <v>4</v>
      </c>
      <c r="S4" t="str">
        <f t="shared" si="3"/>
        <v>30CM</v>
      </c>
      <c r="U4" t="s">
        <v>347</v>
      </c>
      <c r="V4" t="s">
        <v>347</v>
      </c>
      <c r="W4">
        <f t="shared" si="4"/>
        <v>4</v>
      </c>
      <c r="X4" t="str">
        <f t="shared" si="5"/>
        <v>C026</v>
      </c>
    </row>
    <row r="5" spans="1:24">
      <c r="P5" t="s">
        <v>348</v>
      </c>
      <c r="Q5">
        <v>31</v>
      </c>
      <c r="R5">
        <f t="shared" si="2"/>
        <v>4</v>
      </c>
      <c r="S5" t="str">
        <f t="shared" si="3"/>
        <v>31CM</v>
      </c>
      <c r="U5" t="s">
        <v>349</v>
      </c>
      <c r="V5" t="s">
        <v>349</v>
      </c>
      <c r="W5">
        <f t="shared" si="4"/>
        <v>4</v>
      </c>
      <c r="X5" t="str">
        <f t="shared" si="5"/>
        <v>C028</v>
      </c>
    </row>
    <row r="6" spans="1:24">
      <c r="U6" t="s">
        <v>350</v>
      </c>
      <c r="V6" t="s">
        <v>350</v>
      </c>
      <c r="W6">
        <f t="shared" si="4"/>
        <v>4</v>
      </c>
      <c r="X6" t="str">
        <f t="shared" si="5"/>
        <v>C030</v>
      </c>
    </row>
    <row r="7" spans="1:24">
      <c r="U7" t="s">
        <v>351</v>
      </c>
      <c r="V7" t="s">
        <v>351</v>
      </c>
      <c r="W7">
        <f t="shared" si="4"/>
        <v>4</v>
      </c>
      <c r="X7" t="str">
        <f t="shared" si="5"/>
        <v>C036</v>
      </c>
    </row>
  </sheetData>
  <conditionalFormatting sqref="C1:C2">
    <cfRule type="expression" dxfId="6" priority="4">
      <formula>AND(ISNUMBER(C1),C1&gt;15)</formula>
    </cfRule>
  </conditionalFormatting>
  <conditionalFormatting sqref="H1:H4">
    <cfRule type="expression" dxfId="5" priority="5">
      <formula>AND(ISNUMBER(H1),H1&gt;15)</formula>
    </cfRule>
  </conditionalFormatting>
  <conditionalFormatting sqref="M2:M3">
    <cfRule type="expression" dxfId="4" priority="3">
      <formula>AND(ISNUMBER(M2),M2&gt;15)</formula>
    </cfRule>
  </conditionalFormatting>
  <conditionalFormatting sqref="R2:R5">
    <cfRule type="expression" dxfId="3" priority="2">
      <formula>AND(ISNUMBER(R2),R2&gt;15)</formula>
    </cfRule>
  </conditionalFormatting>
  <conditionalFormatting sqref="W2:W7">
    <cfRule type="expression" dxfId="2" priority="1">
      <formula>AND(ISNUMBER(W2),W2&gt;15)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66C7-20F1-468F-BC51-F306F2BBE647}">
  <dimension ref="A1:AC2"/>
  <sheetViews>
    <sheetView workbookViewId="0">
      <selection activeCell="F12" sqref="F12"/>
    </sheetView>
  </sheetViews>
  <sheetFormatPr defaultRowHeight="14.45"/>
  <sheetData>
    <row r="1" spans="1:29">
      <c r="A1" t="s">
        <v>0</v>
      </c>
      <c r="B1" t="s">
        <v>1</v>
      </c>
      <c r="C1" t="s">
        <v>3</v>
      </c>
      <c r="D1" s="1" t="s">
        <v>2</v>
      </c>
      <c r="F1" t="s">
        <v>5</v>
      </c>
      <c r="G1" t="s">
        <v>1</v>
      </c>
      <c r="H1" t="s">
        <v>3</v>
      </c>
      <c r="I1" s="1" t="s">
        <v>2</v>
      </c>
      <c r="K1" t="s">
        <v>6</v>
      </c>
      <c r="L1" t="s">
        <v>1</v>
      </c>
      <c r="M1" t="s">
        <v>3</v>
      </c>
      <c r="N1" s="1" t="s">
        <v>2</v>
      </c>
      <c r="P1" t="s">
        <v>7</v>
      </c>
      <c r="Q1" t="s">
        <v>1</v>
      </c>
      <c r="R1" t="s">
        <v>3</v>
      </c>
      <c r="S1" s="1" t="s">
        <v>2</v>
      </c>
      <c r="U1" t="s">
        <v>8</v>
      </c>
      <c r="V1" t="s">
        <v>1</v>
      </c>
      <c r="W1" t="s">
        <v>3</v>
      </c>
      <c r="X1" s="1" t="s">
        <v>2</v>
      </c>
      <c r="Z1" t="s">
        <v>9</v>
      </c>
      <c r="AA1" t="s">
        <v>1</v>
      </c>
      <c r="AB1" t="s">
        <v>3</v>
      </c>
      <c r="AC1" s="1" t="s">
        <v>2</v>
      </c>
    </row>
    <row r="2" spans="1:29">
      <c r="A2" t="s">
        <v>352</v>
      </c>
      <c r="B2" t="s">
        <v>353</v>
      </c>
    </row>
  </sheetData>
  <conditionalFormatting sqref="C1">
    <cfRule type="expression" dxfId="1" priority="2">
      <formula>AND(ISNUMBER(C1),C1&gt;15)</formula>
    </cfRule>
  </conditionalFormatting>
  <conditionalFormatting sqref="H1">
    <cfRule type="expression" dxfId="0" priority="1">
      <formula>AND(ISNUMBER(H1),H1&gt;15)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RIBAS</dc:creator>
  <cp:keywords/>
  <dc:description/>
  <cp:lastModifiedBy>Utilizador Convidado</cp:lastModifiedBy>
  <cp:revision/>
  <dcterms:created xsi:type="dcterms:W3CDTF">2026-04-21T07:54:00Z</dcterms:created>
  <dcterms:modified xsi:type="dcterms:W3CDTF">2026-05-05T08:39:20Z</dcterms:modified>
  <cp:category/>
  <cp:contentStatus/>
</cp:coreProperties>
</file>